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Gap Register" sheetId="2" state="visible" r:id="rId4"/>
    <sheet name="Resolved Decisions" sheetId="3" state="visible" r:id="rId5"/>
  </sheets>
  <definedNames>
    <definedName function="false" hidden="true" localSheetId="1" name="_xlnm._FilterDatabase" vbProcedure="false">'Gap Register'!$A$1:$K$14</definedName>
    <definedName function="false" hidden="true" localSheetId="2" name="_xlnm._FilterDatabase" vbProcedure="false">'Resolved Decisions'!$A$1:$E$52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<sst xmlns="http://schemas.openxmlformats.org/spreadsheetml/2006/main" count="434" uniqueCount="329">
  <si>
    <t xml:space="preserve">WMP Solution Design — Inputs &amp; Decisions Gap Register</t>
  </si>
  <si>
    <t xml:space="preserve">Rev 7 — 8/25/2026: call answers applied (decommission gate, post-Exchange ownership, operations scope). 13 call-ready rows remain.</t>
  </si>
  <si>
    <t xml:space="preserve">Wisconsin Metal Parts — Microsoft GCC High Migration (CMMC 2.0 Level 2)  |  Prepared by Essendis</t>
  </si>
  <si>
    <t xml:space="preserve">Purpose</t>
  </si>
  <si>
    <t xml:space="preserve">Working agenda for the resolution call: 16 rows, each with terse questions answerable in the meeting. Capture answers in the Proposed Direction column. Everything decided lives on the Resolved Decisions sheet with the design/config follow-through Essendis executes.</t>
  </si>
  <si>
    <t xml:space="preserve">How to read the register</t>
  </si>
  <si>
    <t xml:space="preserve">Priority</t>
  </si>
  <si>
    <t xml:space="preserve">High = blocks configuration, migration, or evidence · Medium = needed before go-live</t>
  </si>
  <si>
    <t xml:space="preserve">Owner</t>
  </si>
  <si>
    <t xml:space="preserve">Who answers on the call: WMP, Essendis, RPO (Bound Planet), CallTower — or a combination</t>
  </si>
  <si>
    <t xml:space="preserve">Counts</t>
  </si>
  <si>
    <t xml:space="preserve">Open by category</t>
  </si>
  <si>
    <t xml:space="preserve">Totals</t>
  </si>
  <si>
    <t xml:space="preserve">Exchange Online &amp; Mail Flow</t>
  </si>
  <si>
    <t xml:space="preserve">Open — High</t>
  </si>
  <si>
    <t xml:space="preserve">Collaboration Workloads</t>
  </si>
  <si>
    <t xml:space="preserve">Open — Medium</t>
  </si>
  <si>
    <t xml:space="preserve">Endpoint &amp; Device Management</t>
  </si>
  <si>
    <t xml:space="preserve">Open total</t>
  </si>
  <si>
    <t xml:space="preserve">Teams Voice</t>
  </si>
  <si>
    <t xml:space="preserve">Resolved</t>
  </si>
  <si>
    <t xml:space="preserve">Data Migration</t>
  </si>
  <si>
    <t xml:space="preserve">Device Migration</t>
  </si>
  <si>
    <t xml:space="preserve">Exchange Decommission</t>
  </si>
  <si>
    <t xml:space="preserve">Operations &amp; Support</t>
  </si>
  <si>
    <t xml:space="preserve">ID</t>
  </si>
  <si>
    <t xml:space="preserve">Category</t>
  </si>
  <si>
    <t xml:space="preserve">Gap / Missing Item</t>
  </si>
  <si>
    <t xml:space="preserve">Type</t>
  </si>
  <si>
    <t xml:space="preserve">Why It Matters</t>
  </si>
  <si>
    <t xml:space="preserve">Key Questions (call-ready)</t>
  </si>
  <si>
    <t xml:space="preserve">Proposed Direction / Known Answer</t>
  </si>
  <si>
    <t xml:space="preserve">Design Doc Section</t>
  </si>
  <si>
    <t xml:space="preserve">Status</t>
  </si>
  <si>
    <t xml:space="preserve">G-18</t>
  </si>
  <si>
    <t xml:space="preserve">Application and device mail flow has no design. The decommission gate requires printers, scanners, and ERP relay to be redirected to Exchange Online, but no relay method is defined — and the document already flags that the SPF record and the outbound disclaimer wording are unfinished.</t>
  </si>
  <si>
    <t xml:space="preserve">Open item in doc</t>
  </si>
  <si>
    <t xml:space="preserve">This is a hard gate on WBS 9.1.5: on-premises Exchange cannot be removed until every relay client is redirected, and in GCC High the relay options (connector with certificate/IP, direct send, SMTP AUTH) each carry different prerequisites.</t>
  </si>
  <si>
    <t xml:space="preserve">Which devices and apps send email today — copiers/scanners, ERP, anything else?
Do they support authenticated SMTP with TLS, or only basic/unauthenticated relay?
Any high-volume senders (quotes, invoices, alerts)?</t>
  </si>
  <si>
    <t xml:space="preserve">Exchange Online &gt; new "Application Mail Flow / SMTP Relay"; Email Authentication</t>
  </si>
  <si>
    <t xml:space="preserve">Essendis + WMP</t>
  </si>
  <si>
    <t xml:space="preserve">High</t>
  </si>
  <si>
    <t xml:space="preserve">Open</t>
  </si>
  <si>
    <t xml:space="preserve">G-20</t>
  </si>
  <si>
    <t xml:space="preserve">Room and resource mailboxes are undefined. The migration section lists user mailboxes, shared mailboxes, distribution lists, and groups — but not rooms, while the decommission gate and WBS 5.2.5 both assume room resource accounts exist and are recreated rather than migrated.</t>
  </si>
  <si>
    <t xml:space="preserve">Missing input</t>
  </si>
  <si>
    <t xml:space="preserve">Room mailboxes recreated rather than migrated lose their booking history and delegates, and any Teams Room or conference device tied to them needs its own licence and GCC High validation.</t>
  </si>
  <si>
    <t xml:space="preserve">How many room/equipment mailboxes, and their names?
Any delegate-managed or special booking behaviours to preserve?
Is room calendar history needed, or is a clean rebuild fine?</t>
  </si>
  <si>
    <t xml:space="preserve">Known from WBS 5.2.5: room resource accounts are recreated in GCC High rather than migrated. The count is still recorded as TBD in WBS 1.1.2.</t>
  </si>
  <si>
    <t xml:space="preserve">Exchange Online; Migration Design &gt; Email</t>
  </si>
  <si>
    <t xml:space="preserve">Medium</t>
  </si>
  <si>
    <t xml:space="preserve">G-21</t>
  </si>
  <si>
    <t xml:space="preserve">How WMP collaborates with the outside world after go-live is undefined. External sharing is disabled in SharePoint and OneDrive, Teams guest access is off, external access is limited to "specific external domains" that are never listed, and CA policy 6 targets "Contractors" — a population that appears nowhere else. Encrypted email to external parties is also undefined.</t>
  </si>
  <si>
    <t xml:space="preserve">Missing decision</t>
  </si>
  <si>
    <t xml:space="preserve">WMP is a subcontractor: it must exchange drawings, quotes, and CUI with primes and the DoD daily. Shipping a tenant with every external path closed and no approved alternative creates immediate shadow IT, and GCC High-to-commercial federation is materially restricted.</t>
  </si>
  <si>
    <t xml:space="preserve">Which external orgs need Teams chat/meetings (primes, suppliers, Essendis, RPO) — for the allow list?
Are there any guest users at all today? (If none, CA policy 6 is removed.)
How is CUI exchanged with primes today, and what is the sanctioned path after go-live?</t>
  </si>
  <si>
    <t xml:space="preserve">Deploying purview message encryption. External orgs and guest inventory need established. External sharing approvals out of scope.
WMP (8/25): Purview Message Encryption is being deployed; external-org and guest inventory still to be established; external-sharing approval workflow out of scope.</t>
  </si>
  <si>
    <t xml:space="preserve">SharePoint &gt; External Sharing; Teams &gt; External and Guest Access; CA policy 6</t>
  </si>
  <si>
    <t xml:space="preserve">G-22</t>
  </si>
  <si>
    <t xml:space="preserve">Site and team provisioning governance is missing, and the SharePoint section twice says "see the appendix for a list of sites that will be migrated" — there is no such appendix (the document contains only Appendix A, password matrix, and Appendix B, terms of use).</t>
  </si>
  <si>
    <t xml:space="preserve">WBS 5.4.1 needs a source-to-destination site map before migration can be configured, and unrestricted team/site creation is how CUI sprawls into ungoverned locations.</t>
  </si>
  <si>
    <t xml:space="preserve">List the SharePoint sites and Teams to migrate, with owners.
Who may create new Teams/sites after go-live — everyone, or IT only?
Any naming standard to enforce?</t>
  </si>
  <si>
    <t xml:space="preserve">Known bounds from the WBS: up to 5 SharePoint sites (1.1.6, 5.4.3), 15–20 shared mailboxes (1.1.2), light Teams adoption (1.1.5). The named inventory is still outstanding.</t>
  </si>
  <si>
    <t xml:space="preserve">SharePoint &gt; Site Provisioning; new appendix</t>
  </si>
  <si>
    <t xml:space="preserve">G-30</t>
  </si>
  <si>
    <t xml:space="preserve">Certificate and network-access dependencies are undefined. The mobile sections promise configuration profiles delivering "Wi-Fi, email, and VPN settings where required" with no authentication method or certificate source, and nothing at all covers Windows 802.1X once devices leave the domain.</t>
  </si>
  <si>
    <t xml:space="preserve">If corporate Wi-Fi uses 802.1X with machine certificates issued by AD auto-enrolment, every Entra-joined device loses network access at the moment of migration — and issuing certificates from Intune requires a SCEP/PKCS connector and a PKI that is not in scope anywhere.</t>
  </si>
  <si>
    <t xml:space="preserve">How does corporate Wi-Fi authenticate at each site — PSK, or 802.1X with certificates?
Is there an internal PKI (AD Certificate Services) today?
Any VPN client in use, and does it need device certificates?</t>
  </si>
  <si>
    <t xml:space="preserve">New section: Endpoint Configuration &gt; Certificates and Network Access; MDM configuration profiles</t>
  </si>
  <si>
    <t xml:space="preserve">G-31</t>
  </si>
  <si>
    <t xml:space="preserve">Shared and kiosk workstations on the shop floor are not addressed. The design assumes one identity per user and a compliant personal device; a fabrication floor typically runs shared terminals for time clocks, drawings, work instructions, and machine-tool control.</t>
  </si>
  <si>
    <t xml:space="preserve">Shared credentials break individual accountability under CMMC AC.L2-3.1.1 and IA.L2-3.5.1/3.5.2, and shared machines interact badly with a "require compliant device" CA policy and with per-user OneDrive/Known Folder Move.</t>
  </si>
  <si>
    <t xml:space="preserve">Are there shared or kiosk PCs on the production floor — how many per site?
Do floor workers have individual accounts, or shared logins?
Do those terminals need M365 access, or only shop systems?</t>
  </si>
  <si>
    <t xml:space="preserve">New section: Endpoint Configuration (Windows) &gt; Shared and Kiosk Devices</t>
  </si>
  <si>
    <t xml:space="preserve">G-33</t>
  </si>
  <si>
    <t xml:space="preserve">Mobile fleet inputs are outstanding: the design records device counts by platform as TBD, leaves the MAM-only access path as an explicitly open item, and does not define which applications beyond Outlook and Teams are deployed or what the loss/wipe process is.</t>
  </si>
  <si>
    <t xml:space="preserve">Rollout cannot be scheduled or licensed without counts, and "MAM-only if needed" left open means the enrolment restriction blocking personal devices may collide with a real business need at go-live.</t>
  </si>
  <si>
    <t xml:space="preserve">How many corporate iPhones and Androids, by site?
Does WMP have an Apple Business Manager account, and who owns it?
Does anyone need MAM-only access, or is full enrolment universal?
Any apps beyond Outlook/Teams to deploy to mobile?</t>
  </si>
  <si>
    <t xml:space="preserve">Essendis dictating app protection settings. Refresh/retire process out of scope.
WMP (8/25): Essendis dictates the app-protection settings; device refresh/retire process out of scope.</t>
  </si>
  <si>
    <t xml:space="preserve">MDM (Intune) &gt; Pilot Validation and Rollout; Compliance and Conditional Access</t>
  </si>
  <si>
    <t xml:space="preserve">G-36</t>
  </si>
  <si>
    <t xml:space="preserve">Voice endpoints are not inventoried. The design covers users and calling features but never mentions physical or analog endpoints — at a fabrication shop that typically means overhead paging, fax lines, elevator and door phones, alarm and monitoring lines, and loud-environment handsets.</t>
  </si>
  <si>
    <t xml:space="preserve">Analog and paging endpoints have no native path in Teams Phone; discovering them after porting means either a failed cutover or an unplanned ATA/paging gateway purchase.</t>
  </si>
  <si>
    <t xml:space="preserve">Conference rooms: how many, what devices are in them today, and should any become Teams Rooms (GCC High-validated)?</t>
  </si>
  <si>
    <t xml:space="preserve">Conference room devices are the only relevant question here
WMP (8/25): conference room devices are the only relevant question here.</t>
  </si>
  <si>
    <t xml:space="preserve">Teams Voice &gt; new "Voice Endpoints" subsection</t>
  </si>
  <si>
    <t xml:space="preserve">WMP + CallTower</t>
  </si>
  <si>
    <t xml:space="preserve">G-39</t>
  </si>
  <si>
    <t xml:space="preserve">Source data volumes and mailbox inventory are unquantified. The design names workload types but no counts or sizes; the WBS carries approximations (~150 users, 15–20 shared mailboxes, up to 5 SharePoint sites, rooms TBD) and no data on archives, public folders, or PSTs.</t>
  </si>
  <si>
    <t xml:space="preserve">Volume drives migration duration, bandwidth, batch sizing, and cost; unlisted artifact classes like public folders and PSTs are the ones that surface on cutover weekend with no plan.</t>
  </si>
  <si>
    <t xml:space="preserve">Approximate total mail data and largest mailboxes? (Or: when can we run the AvePoint discovery scan?)
Any PST files, public folders, or a third-party mail archive?</t>
  </si>
  <si>
    <t xml:space="preserve">Known WBS bounds: ~150 user mailboxes (5.2.3), up to 20 shared mailboxes (5.2.4), up to 5 SharePoint sites (5.4.3), room counts TBD (1.1.2).</t>
  </si>
  <si>
    <t xml:space="preserve">Migration Design &gt; M365 Migration; new inventory appendix</t>
  </si>
  <si>
    <t xml:space="preserve">G-41</t>
  </si>
  <si>
    <t xml:space="preserve">Domain transition mechanics are missing. The design covers DNS record repointing but not the constraint that wisconsinmetalparts.com must be removed from the commercial tenant before it can be added to GCC High (WBS 5.5.5/5.5.6), nor the transition domains, registrar access, TTL plan, or rollback.</t>
  </si>
  <si>
    <t xml:space="preserve">A vanity domain cannot exist in two tenants at once; the removal/re-add sequence creates a hard, irreversible window on cutover weekend that must be planned to the minute.</t>
  </si>
  <si>
    <t xml:space="preserve">Confirm the GCC High initial domain: wisconsinmetalparts.onmicrosoft.us, or something shorter? (Permanent — set at tenant creation.)</t>
  </si>
  <si>
    <t xml:space="preserve">We just need to confirm the expected domain works (versus something shorter)
WMP (8/25): just confirm the expected domain works (versus something shorter). Runbook facts already set: &lt;1 hr release gap, TTL 30 min from 5 days out.</t>
  </si>
  <si>
    <t xml:space="preserve">Entra ID &gt; Custom Domain; Migration Design &gt; Mail Flow Cutover</t>
  </si>
  <si>
    <t xml:space="preserve">G-43</t>
  </si>
  <si>
    <t xml:space="preserve">There is no application integration inventory. The design's Constraints section mentions "third-party integrations referencing legacy URLs" but nothing enumerates the applications that authenticate to Entra ID, call Microsoft Graph, or integrate with mail and files — and many ISVs do not support GCC High endpoints at all.</t>
  </si>
  <si>
    <t xml:space="preserve">An application that cannot be re-registered against GCC High becomes a go-live blocker discovered by users; WBS 9.1.4 also gates decommission on proving no application still authenticates to on-premises Exchange.</t>
  </si>
  <si>
    <t xml:space="preserve">Which business apps sign in with Microsoft 365 today (ERP, quoting, shipping, CAD/PDM)?
Does anything read mailboxes/calendars or send mail as users (integrations)?
Which service accounts must be excluded from MFA/CA?</t>
  </si>
  <si>
    <t xml:space="preserve">New section: Assumptions &amp; Dependencies &gt; Application Integrations</t>
  </si>
  <si>
    <t xml:space="preserve">G-47</t>
  </si>
  <si>
    <t xml:space="preserve">The ForensIT profile conversion is described in six bullets with no execution detail: no per-device runbook, no handling of credential and encryption state, and no treatment of the application-level breakage that a domain-to-Entra identity change causes.</t>
  </si>
  <si>
    <t xml:space="preserve">BitLocker keys currently escrowed to on-premises AD do not follow the device to Entra; Windows Hello, cached credentials, saved application passwords, and mapped resources all reset at conversion. Any of these turns a 30-minute conversion into a rebuild.</t>
  </si>
  <si>
    <t xml:space="preserve">Conversion requires full decrypt + FIPS re-encrypt: confirm the per-device time window and wave sizing.
On-site at each location or remote — and attended or scripted?
Which applications break on the SID change and need re-activation (CAD/CAM, ERP)?
Is the ForensIT licence purchased for the fleet size, and who runs the tool?</t>
  </si>
  <si>
    <t xml:space="preserve">Full decrypt required for FIPS cipher to apply.
WMP (8/25): full decrypt required for the FIPS cipher to apply (decrypt, then re-encrypt under the FIPS policy).</t>
  </si>
  <si>
    <t xml:space="preserve">Migration Design &gt; Device Migration – ForensIT User Profile Wizard</t>
  </si>
  <si>
    <t xml:space="preserve">Essendis</t>
  </si>
  <si>
    <t xml:space="preserve">G-48</t>
  </si>
  <si>
    <t xml:space="preserve">Access to on-premises resources from Entra-joined devices is unaddressed. Once devices leave the domain, Kerberos-based access to file shares, print servers, and the ERP client stops working the way it does today — and the design never mentions it.</t>
  </si>
  <si>
    <t xml:space="preserve">This is the most common post-migration outage in an Entra-join project: users lose mapped drives, printers, and application logins on the Monday after their device is converted, at three sites simultaneously.</t>
  </si>
  <si>
    <t xml:space="preserve">Which file shares and print servers do users touch daily?
Drive mappings: rebuild via Intune scripts, or move the content to SharePoint?
Printers after GPO retirement: print server, direct IP via Intune, or Universal Print?
Does the ERP client require domain membership or Windows-integrated auth?</t>
  </si>
  <si>
    <t xml:space="preserve">New section: Endpoint Configuration &gt; On-Premises Resource Access; Device Migration</t>
  </si>
  <si>
    <t xml:space="preserve">Item</t>
  </si>
  <si>
    <t xml:space="preserve">WMP Decision / Recorded Answer</t>
  </si>
  <si>
    <t xml:space="preserve">Follow-through</t>
  </si>
  <si>
    <t xml:space="preserve">G-01</t>
  </si>
  <si>
    <t xml:space="preserve">Endpoint security baselines are absent from the design</t>
  </si>
  <si>
    <t xml:space="preserve">Decision already taken (not yet in the document): Microsoft Security Compliance Toolkit baselines deployed via Intune. This must be written into the design, reconciled with WBS 4.3.1's "MDM Security Baseline" wording, and pinned to specific baseline versions.</t>
  </si>
  <si>
    <t xml:space="preserve">Decision: Microsoft Security Compliance Toolkit baselines deployed via Intune. Essendis selects the concrete baseline set and pinned versions at configuration, reconciles the WBS 4.3.1 'MDM Security Baseline' wording, and maintains the deviation record for CMMC evidence.</t>
  </si>
  <si>
    <t xml:space="preserve">G-02</t>
  </si>
  <si>
    <t xml:space="preserve">Program &amp; Scope</t>
  </si>
  <si>
    <t xml:space="preserve">GCC High tenant procurement is assumed complete</t>
  </si>
  <si>
    <t xml:space="preserve">Essendis is licensing partner, order in progress. Tenant will be created when licenses delivered.</t>
  </si>
  <si>
    <t xml:space="preserve">Essendis is the licensing partner; the order is in progress and the tenant is created when licences are delivered. Schedule anchors to licence delivery; Essendis records eligibility/provisioning facts in the design as they land.</t>
  </si>
  <si>
    <t xml:space="preserve">G-03</t>
  </si>
  <si>
    <t xml:space="preserve">Azure infrastructure was removed from scope, but the document still depends on Azure in several places: break-glass alerting via "Log Analytics in Azure", CA policy 5 (Azure Management / Azure Portal), PIM covering "Azure resources" and Azure RBAC Owner/Contributor, and Deployment phase 1 "Define Azure RBAC model"</t>
  </si>
  <si>
    <t xml:space="preserve">Resolved - Known: Azure infrastructure was removed from scope; this is an M365-only design. The residual Azure references are leftovers from the prior revision and need to be removed or replaced with M365-native equivalents.</t>
  </si>
  <si>
    <t xml:space="preserve">Azure infrastructure remains out of design scope; Essendis removes or replaces the residual Azure references (CA policy 5, PIM Azure RBAC wording, Deployment phase 1) with M365-native equivalents. Note: an Azure subscription does exist (see G-52) and may host Log Analytics for alerting only.</t>
  </si>
  <si>
    <t xml:space="preserve">G-04</t>
  </si>
  <si>
    <t xml:space="preserve">Migration schedule is undefined: cutover dates are listed as "TBD", the stated duration ("approximately 12 weeks</t>
  </si>
  <si>
    <t xml:space="preserve">WMP (8/24): early-mid november - suggest available weekends.</t>
  </si>
  <si>
    <t xml:space="preserve">Cutover targeted for early-to-mid November. Essendis proposes candidate weekends (avoiding Thanksgiving week), names the pilot batch in the migration plan, updates the stale 'first week of May' schedule text, and commits dates to CallTower and the communications plan.</t>
  </si>
  <si>
    <t xml:space="preserve">G-05</t>
  </si>
  <si>
    <t xml:space="preserve">End state of the source Microsoft 365 Commercial tenant is undefined — the design ends at cutover and never says what happens to the commercial tenant or the CUI left in it</t>
  </si>
  <si>
    <t xml:space="preserve">Entra connect should be disabled from old tenant, but then it will be left for customer to decom fuilly.</t>
  </si>
  <si>
    <t xml:space="preserve">Config action: disable Entra Connect against the commercial tenant at cutover; WMP decommissions the old tenant fully thereafter.</t>
  </si>
  <si>
    <t xml:space="preserve">G-06</t>
  </si>
  <si>
    <t xml:space="preserve">Licensing</t>
  </si>
  <si>
    <t xml:space="preserve">No licensing design exists</t>
  </si>
  <si>
    <t xml:space="preserve">WMP (8/24) licensing plan received:
M365 G5 FUSL GCCH x15 (ADD-99035-COMM)
M365 Business Premium x55 (AAD-59343-COMM-2)
BP Defender Purview Suite GCCH x55 (AAV-01856-COMM-2)
Teams Phone Standard GCCH x55 (RFT-00001-COMM)
M365 F3 GCCH x80 (AAA-99952-COMM)
M365 F5 Security + Compliance GCCH Add-on x80 (91Q-00003-COMM)
= 150 users: 15 G5 / 55 BP tier / 80 F3 + F5 S&amp;C.
VERIFIED (public sources, 8/24): M365 Business Premium is offered in GCC High (announced Nov 3, ~300-seat cap; Microsoft SKU AAU-59343 matches the quote's AAD-59343 line). The combined Defender + Purview Suite GCCH add-on (AAV-01856 line) adds Entra ID P2, Defender for Endpoint P2, Defender for Office 365 P2, Defender for Identity/Cloud Apps, E5 Information Protection (auto-labeling, unified DLP incl. Endpoint DLP), Insider Risk, eDiscovery Premium, extended audit. With G5 (15) and F5 Security+Compliance (80), Entra ID P2 covers all 150 users; risk-based CA policies 7-8 are licensed tenant-wide.</t>
  </si>
  <si>
    <t xml:space="preserve">Licensing plan adopted as quoted: 15x G5, 55x Business Premium + Defender/Purview Suite GCCH + Teams Phone Standard, 80x F3 + F5 Security &amp; Compliance (verified against public GCC High SKU documentation; Entra ID P2 tenant-wide). Third-party seats (AvePoint Fly, ForensIT, CallTower service) and the commercial-overlap wind-down are handled in procurement.</t>
  </si>
  <si>
    <t xml:space="preserve">G-07</t>
  </si>
  <si>
    <t xml:space="preserve">Entra ID P2 purchase vehicle</t>
  </si>
  <si>
    <t xml:space="preserve">Settled by the licensing plan: P2 arrives via M365 G5 (15 users) and the F5 Security + Compliance add-on (80 users); the 55-seat BP + Defender/Purview Suite tier's P2 entitlement is verified under G-06.</t>
  </si>
  <si>
    <t xml:space="preserve">No purchase decision remains: Entra ID P2 is confirmed licensed for all 150 users — G5 (15), BP + Defender/Purview Suite GCCH (55), F5 Security + Compliance add-on (80). Verified against public SKU documentation 8/24.</t>
  </si>
  <si>
    <t xml:space="preserve">G-08</t>
  </si>
  <si>
    <t xml:space="preserve">Identity &amp; Access</t>
  </si>
  <si>
    <t xml:space="preserve">No Entra ID Connect design</t>
  </si>
  <si>
    <t xml:space="preserve">WMP (8/24): repointing sync to gcch
Pure Entra ID join decided (G-09): sign-in is PHS alone; Seamless SSO drops out.</t>
  </si>
  <si>
    <t xml:space="preserve">Existing Entra Connect is re-pointed to GCC High; sign-in is PHS alone (pure Entra join, Seamless SSO dropped). Essendis engineers the re-point sequencing, object matching, sync scope, and break-fix plan in the migration plan.</t>
  </si>
  <si>
    <t xml:space="preserve">G-09</t>
  </si>
  <si>
    <t xml:space="preserve">Device join model (design/WBS contradiction)</t>
  </si>
  <si>
    <t xml:space="preserve">Pure Entra join.</t>
  </si>
  <si>
    <t xml:space="preserve">Design/config actions: end state is Entra ID join (cloud-only). Simplify CA policy 3's grant to require-compliant-device only; remove the Seamless SSO section (a domain-joined-only feature); both join states coexist only during migration waves. Supersedes WBS 1.3.2's hybrid-join note. Cascade: closes G-08's sign-in-method question (PHS alone).</t>
  </si>
  <si>
    <t xml:space="preserve">G-10</t>
  </si>
  <si>
    <t xml:space="preserve">No statement of what remains on-premises after Exchange decommission and GPO retirement</t>
  </si>
  <si>
    <t xml:space="preserve">legacy app authentication. AD retirement not in scope.</t>
  </si>
  <si>
    <t xml:space="preserve">Design note: on-premises AD remains solely for legacy application authentication; AD retirement out of scope.</t>
  </si>
  <si>
    <t xml:space="preserve">G-11</t>
  </si>
  <si>
    <t xml:space="preserve">Authentication method design is contradictory and incomplete: the document states "All users will use the Microsoft Authenticator app", while CA policies 2 and 4 call for phishing-resistant authentication strength for admins</t>
  </si>
  <si>
    <t xml:space="preserve">WMP (8/24): Admins should use passkey in authenticator or Yubikey
WMP (8/24): shop-floor MFA = Microsoft Authenticator, with YubiKey as fallback.</t>
  </si>
  <si>
    <t xml:space="preserve">MFA methods: admins use passkey in Authenticator or YubiKey; all other users Microsoft Authenticator with YubiKey fallback, including shop floor. Essendis plans pre-cutover registration (TAP or on-site sessions) in the communications plan, sizes the YubiKey purchase from the fallback-user list, and leaves SMS/voice methods disabled.</t>
  </si>
  <si>
    <t xml:space="preserve">G-12</t>
  </si>
  <si>
    <t xml:space="preserve">No account lifecycle (joiner/mover/leaver) design</t>
  </si>
  <si>
    <t xml:space="preserve">WMP (8/24): Licensing should be group based. Accounts created in AD and synced.</t>
  </si>
  <si>
    <t xml:space="preserve">Accounts are created in on-premises AD and synced; licensing is group-based. Essendis documents the licence groups and the joiner/leaver runbook in the admin procedures (WBS 5.6.5).</t>
  </si>
  <si>
    <t xml:space="preserve">G-13</t>
  </si>
  <si>
    <t xml:space="preserve">Administrative role model is stated in principle only — "built-in roles </t>
  </si>
  <si>
    <t xml:space="preserve">WMP (8/24): Exact user lists TBD. No standing global admin for admins, all will use PIM. Separate user and cadm- prefixed accounts. Mike and Jeremy from Essendis, and they're removed at handoff.</t>
  </si>
  <si>
    <t xml:space="preserve">Admin model: no standing Global Administrators — all elevation via PIM; separate cadm- prefixed admin accounts; Essendis access (Mike, Jeremy) removed at handoff. The role list is finalised at implementation; Essendis sets PIM activation defaults (time-bound, MFA on activation).</t>
  </si>
  <si>
    <t xml:space="preserve">G-14</t>
  </si>
  <si>
    <t xml:space="preserve">Conditional Access</t>
  </si>
  <si>
    <t xml:space="preserve">Nine CA policies are specified but the rollout method is not: no report-only staging, no pilot group, no exclusion model beyond break-glass, and no service-account handling</t>
  </si>
  <si>
    <t xml:space="preserve">WMP (8/24): deployed in report-only while verified, then activated. Break glass accounts group excluded along with migration accounts. Avepoint uses app registrations.</t>
  </si>
  <si>
    <t xml:space="preserve">CA policies deploy in report-only until verified, then activate. Exclusions: break-glass group and migration accounts; AvePoint authenticates via app registrations. Essendis defines the report-only exit check in the runbook and corrects Deployment phase 1's 'security defaults' wording.</t>
  </si>
  <si>
    <t xml:space="preserve">G-15</t>
  </si>
  <si>
    <t xml:space="preserve">Named locations are named but not defined: the document lists "WMP HQ" and "Tool Crib" — two entries for a company with three physical locations — and gives no IP ranges, no egress detail, and no VPN posture</t>
  </si>
  <si>
    <t xml:space="preserve">WMP (8/24): Sites TBD. Tool crib reference should be removed as specific to another customer.</t>
  </si>
  <si>
    <t xml:space="preserve">Site names and egress IP ranges are collected at implementation and entered into the named locations; the 'Tool Crib' entry (another customer's artifact) is removed from the design.</t>
  </si>
  <si>
    <t xml:space="preserve">G-16</t>
  </si>
  <si>
    <t xml:space="preserve">The Locations section references a Conditional Access policy named "Geo Block (non-US)" and says to see the Conditional Access section — but no such policy exists in the nine defined policies</t>
  </si>
  <si>
    <t xml:space="preserve">geoblock outside of US and add a travelers exception group.</t>
  </si>
  <si>
    <t xml:space="preserve">Design/config action: add CA policy 10 'Geo Block (non-US)' with a Travelers exception group (fixes the dangling reference).</t>
  </si>
  <si>
    <t xml:space="preserve">G-17</t>
  </si>
  <si>
    <t xml:space="preserve">The Terms of Use / CUI warning in Appendix B is written but never wired to anything — no Conditional Access policy grants on Terms of Use acceptance, and the Entra ID section cross-references it to "Appendix A", which is the password matrix</t>
  </si>
  <si>
    <t xml:space="preserve">WMP (8/24): yes, and applies to everyone. Reaccept annually. WMP will review. SOC addresses TBD. Correct any bad references.</t>
  </si>
  <si>
    <t xml:space="preserve">Terms of Use delivered via Entra ID Terms of Use with a CA grant, applied to everyone, annual re-acceptance; WMP legal reviews the wording; bad cross-references corrected. SOC contact details are inserted into Appendix B when WMP establishes them.</t>
  </si>
  <si>
    <t xml:space="preserve">G-19</t>
  </si>
  <si>
    <t xml:space="preserve">Defender for Office 365 coverage is partial: the design defines Safe Attachments, anti-phishing, anti-malware, and anti-spam for email, but never mentions Safe Links (WBS 2.5.2) or Safe Attachments for SharePoint, OneDrive, and Teams (WBS 2.5.3)</t>
  </si>
  <si>
    <t xml:space="preserve">WMP (8/24): Yes. Yes, quarantined. Strict. Admin release only. TBD who receives notifications.</t>
  </si>
  <si>
    <t xml:space="preserve">Defender for Office 365: Strict preset policies; Safe Links everywhere and Safe Attachments for SPO/OneDrive/Teams (flagged files quarantined); quarantine release is admin-only. Notification recipients default to the admin team until WMP names a monitored mailbox.</t>
  </si>
  <si>
    <t xml:space="preserve">G-23</t>
  </si>
  <si>
    <t xml:space="preserve">OneDrive client configuration is thin and one setting is incompatible with the target state: the design restricts sync to "PCs joined to specific domains", which relies on an AD domain GUID — but WBS 7 removes those endpoints from the domain</t>
  </si>
  <si>
    <t xml:space="preserve">restrict by tenant ID. Silently before device migraton.Depends on license but It should be enough for users.Retention out of scope.</t>
  </si>
  <si>
    <t xml:space="preserve">Config action: OneDrive sync restricted by GCC High tenant ID; Known Folder Move enabled silently before device migration; quota per licence; leaver-retention handling out of scope.</t>
  </si>
  <si>
    <t xml:space="preserve">G-24</t>
  </si>
  <si>
    <t xml:space="preserve">There is no Windows endpoint configuration design</t>
  </si>
  <si>
    <t xml:space="preserve">WMP (8/24): No PIN, need FIPS algo, escrow keys to Entra before encrypting, encrypt used space, block USB media in separate policy w/ exception group, Simple Windows Update setup. Device health required else noncompliant. Everything scoped to all devices. Pilot ring members TBD.</t>
  </si>
  <si>
    <t xml:space="preserve">Windows endpoint decisions: BitLocker with FIPS-compliant algorithm, no PIN, keys escrowed to Entra before encryption, used-space-only encryption; USB media blocked in a separate policy with an exception group; simple Windows Update ring setup; device health attestation required for compliance; everything scoped to all devices. Remaining profile values derive from the SCT baselines (G-01); the pilot ring is named at implementation.</t>
  </si>
  <si>
    <t xml:space="preserve">G-25</t>
  </si>
  <si>
    <t xml:space="preserve">Windows provisioning is unresolved</t>
  </si>
  <si>
    <t xml:space="preserve">Correction to record in the design: classic Windows Autopilot is not available in GCC High — Autopilot device preparation is the available path. The existing fleet is converted in place with ForensIT (WBS 7.2), so Autopilot applies only to net-new and rebuilt devices.</t>
  </si>
  <si>
    <t xml:space="preserve">Correction recorded: classic Autopilot is unavailable in GCC High — Autopilot device preparation is the path for net-new and rebuilt devices; the existing fleet converts in place with ForensIT (WBS 7.2). WBS 4.1.2/7.1.5 re-planned accordingly.</t>
  </si>
  <si>
    <t xml:space="preserve">G-26</t>
  </si>
  <si>
    <t xml:space="preserve">Local administrator rights and Windows LAPS are not addressed anywhere in the design or the WBS</t>
  </si>
  <si>
    <t xml:space="preserve">Users will not be local admin Device joiner should not be local admin. LAPS will be configured with WMPAdmin user to rotate password every 30d or after it's been used. Account management policy in place to keep only WMPAdmin account in Local Administrators. IT admins will be able to elevate using WMPAdmin. no legacy apps needing kerberos or admin rights have been identified.</t>
  </si>
  <si>
    <t xml:space="preserve">Config action: users are not local admins; joiner-admin suppressed; Windows LAPS rotates WMPAdmin (30-day and after use); account-management policy keeps only WMPAdmin in local Administrators; IT elevates via WMPAdmin.</t>
  </si>
  <si>
    <t xml:space="preserve">G-27</t>
  </si>
  <si>
    <t xml:space="preserve">Application control is committed to in WBS 4.3.5 (AppLocker/WDAC, CMMC CM.2.061) but has no design, no policy model, and no application inventory behind it</t>
  </si>
  <si>
    <t xml:space="preserve">WDAC in audit mode to allow customer to create tailored WDAC policy.</t>
  </si>
  <si>
    <t xml:space="preserve">Config action: deploy WDAC in audit mode; WMP tailors and enforces its own policy afterwards.</t>
  </si>
  <si>
    <t xml:space="preserve">G-28</t>
  </si>
  <si>
    <t xml:space="preserve">Microsoft Defender for Endpoint appears only in the WBS (2.5.5, "confirm licensing") and never in the design — no plan selection, no onboarding method, no alert routing, no coverage decision for servers</t>
  </si>
  <si>
    <t xml:space="preserve">Defender for Endpoint P2. Licenses to be attached. EDR in block mode, tamper protection enabled. Servers out of scope. WMP managing after handoff.</t>
  </si>
  <si>
    <t xml:space="preserve">Config action: Defender for Endpoint P2, EDR block mode, tamper protection on; servers out of scope; WMP manages after handoff. Licences arrive with the G-06 quote.</t>
  </si>
  <si>
    <t xml:space="preserve">G-29</t>
  </si>
  <si>
    <t xml:space="preserve">Group Policy is never mentioned in the design, yet WBS 4.2 requires a full GPO export, a GPO-to-Intune equivalence mapping, and a documented list of settings that cannot be replicated — and WBS 7.3 retires GPO entirely</t>
  </si>
  <si>
    <t xml:space="preserve">Known from WBS 4.2: the gap analysis, equivalence mapping, and exceptions list are already committed deliverables, with exceptions flagged for customer decision and POA&amp;M.</t>
  </si>
  <si>
    <t xml:space="preserve">GPO export, Intune equivalence mapping, and the exceptions list proceed as committed in WBS 4.2 during the Intune workstream; exceptions go to WMP decision/POA&amp;M; GPO unlink sign-off per WBS 7.3.</t>
  </si>
  <si>
    <t xml:space="preserve">G-32</t>
  </si>
  <si>
    <t xml:space="preserve">CA policy 3 asserts macOS as a managed device platform, but no macOS management, compliance policy, or enrolment path exists anywhere in the design or the WBS, and no Mac inventory has been taken</t>
  </si>
  <si>
    <t xml:space="preserve">No mac - remove macos from CA policies.</t>
  </si>
  <si>
    <t xml:space="preserve">No macOS devices exist: Essendis removes macOS from the CA policy 3 platform list (design edit).</t>
  </si>
  <si>
    <t xml:space="preserve">G-34</t>
  </si>
  <si>
    <t xml:space="preserve">The telephony connectivity model is an open decision — Direct Routing and Operator Connect are both still on the table pending CallTower's GCC High confirmation</t>
  </si>
  <si>
    <t xml:space="preserve">WMP (8/24): Direct routing via CallTower. Cost not in scope for this doc.</t>
  </si>
  <si>
    <t xml:space="preserve">Teams Phone delivered via CallTower Direct Routing (cost out of design scope). Essendis obtains CallTower's GCC High Direct Routing specification and settles the SBC FQDN domain and certificate ownership during integration.</t>
  </si>
  <si>
    <t xml:space="preserve">G-35</t>
  </si>
  <si>
    <t xml:space="preserve">The numbering inventory the design commits to producing does not yet exist, and the surrounding commercial facts are undefined: current carrier and contract, who signs the porting Letter of Agency, and which of the ~150 users actually receive a DID</t>
  </si>
  <si>
    <t xml:space="preserve">Licensing plan implies phone service for the 55 BP-tier users (Teams Phone Standard) plus the 15 G5 users (included in G5); the 80 frontline users get no phone service.</t>
  </si>
  <si>
    <t xml:space="preserve">Number/DID inventory, carrier facts, and the porting LOA are produced during CallTower pre-integration planning as the design commits; licensing already fixes the phone population (55 BP-tier + 15 G5; no frontline phones).</t>
  </si>
  <si>
    <t xml:space="preserve">G-37</t>
  </si>
  <si>
    <t xml:space="preserve">Emergency calling is defined at site level only</t>
  </si>
  <si>
    <t xml:space="preserve">out of scope - handled by calltower</t>
  </si>
  <si>
    <t xml:space="preserve">Emergency calling (E911) is delivered and configured by CallTower; Essendis validates the per-site test calls per WBS 8.3.5.</t>
  </si>
  <si>
    <t xml:space="preserve">G-38</t>
  </si>
  <si>
    <t xml:space="preserve">Source-side migration prerequisites are not captured: source tenant administrative access, the AvePoint Fly deployment model, tenant-to-tenant app consent, and confirmation that Fly supports a Commercial-to-GCC High cross-cloud move at all</t>
  </si>
  <si>
    <t xml:space="preserve">Yes it's supported. Global admin access available for whole migration. Avepoint SaaS in Azure East US. Forget app registration consent and throttling.</t>
  </si>
  <si>
    <t xml:space="preserve">No further action: Fly supports Commercial-to-GCC High; source Global Admin available for the whole window; AvePoint SaaS runs in Azure East US; app-consent/throttling tracking waived by WMP.</t>
  </si>
  <si>
    <t xml:space="preserve">G-40</t>
  </si>
  <si>
    <t xml:space="preserve">Coexistence during the migration window is not designed</t>
  </si>
  <si>
    <t xml:space="preserve">One cutover event.</t>
  </si>
  <si>
    <t xml:space="preserve">Design input: single cutover event — coexistence window minimal, no cross-tenant free/busy or Teams federation needed.</t>
  </si>
  <si>
    <t xml:space="preserve">G-42</t>
  </si>
  <si>
    <t xml:space="preserve">Migration scope beyond mail, files, and Teams content is undefined, and the design over-promises in one place: it lists "Chat History" as included while WBS 5.3.3 qualifies it as "where supported by tooling"</t>
  </si>
  <si>
    <t xml:space="preserve">Yes. Planner/Forms/Viva/Power Automate/PowerApps/PowerBI not in migration scope.</t>
  </si>
  <si>
    <t xml:space="preserve">Design input: chat/channel migration confirmed supported; Planner, Forms, Viva, Power Automate, Power Apps, Power BI are out of migration scope.</t>
  </si>
  <si>
    <t xml:space="preserve">G-44</t>
  </si>
  <si>
    <t xml:space="preserve">On-premises file shares are not mentioned anywhere</t>
  </si>
  <si>
    <t xml:space="preserve">fileserver migration out of scope</t>
  </si>
  <si>
    <t xml:space="preserve">Scope decision: on-premises file-server migration out of scope.</t>
  </si>
  <si>
    <t xml:space="preserve">G-45</t>
  </si>
  <si>
    <t xml:space="preserve">The communications plan lists five message types but no detail, and end-user training is not addressed at all — while WBS 2.8.5 explicitly flags CUI labelling training as out of Essendis scope and hands it to WMP</t>
  </si>
  <si>
    <t xml:space="preserve">WMP (8/24): Essendis writes, WMP approves and sends on TBD schedule. No training in scope. Communication details to be determined.</t>
  </si>
  <si>
    <t xml:space="preserve">Communications: Essendis writes, WMP approves and sends; no end-user training in scope. Essendis drafts the communications package including day-of-cutover instructions; dates are set once the November weekend is fixed (G-04).</t>
  </si>
  <si>
    <t xml:space="preserve">G-46</t>
  </si>
  <si>
    <t xml:space="preserve">Device inventory is missing</t>
  </si>
  <si>
    <t xml:space="preserve">Servers are out of scope for Defender/Intune per WMP (G-28).</t>
  </si>
  <si>
    <t xml:space="preserve">Windows device inventory by site/type is collected by WMP during pre-migration device preparation (WBS 7.1.1); Windows 11/TPM exceptions are handled wave-by-wave; servers remain out of scope (G-28).</t>
  </si>
  <si>
    <t xml:space="preserve">G-49</t>
  </si>
  <si>
    <t xml:space="preserve">The pre-decommission gate lists what must be true but not how it is proven</t>
  </si>
  <si>
    <t xml:space="preserve">WMP (8/25, via chat): 7-day monitored hold; Kyle Mandersfield signs the decommission authorization.</t>
  </si>
  <si>
    <t xml:space="preserve">Design update: the pre-removal monitored hold is 7 days and the decommission authorization is signed by Kyle Mandersfield (WMP). Essendis defines the residual-connection evidence check within that window.</t>
  </si>
  <si>
    <t xml:space="preserve">G-50</t>
  </si>
  <si>
    <t xml:space="preserve">The document states that after decommission, recipient management moves to "Entra ID Connect and PowerShell against Active Directory attributes" with no Exchange management server retained — but no runbook, tooling, or skills transfer is defined for that day-2 reality</t>
  </si>
  <si>
    <t xml:space="preserve">WMP (8/25, via chat): Essendis is not providing runbooks for PowerShell-based management; WMP owns the processes.</t>
  </si>
  <si>
    <t xml:space="preserve">Design update: post-decommission recipient management is WMP-owned. The design notes management continues via Entra Connect/PowerShell with no Essendis runbook deliverable.</t>
  </si>
  <si>
    <t xml:space="preserve">G-51</t>
  </si>
  <si>
    <t xml:space="preserve">The post-hypercare support model is explicitly undefined — the document states support channels "will be clearly defined during the hypercare period" and leaves escalation paths and response times blank</t>
  </si>
  <si>
    <t xml:space="preserve">WMP operates the tenant after handoff (G-55). Hypercare will be available for the week following migration with 2hr response objective. Requests to come via email and teams. WMP handling user-facing support.</t>
  </si>
  <si>
    <t xml:space="preserve">Support model set: hypercare runs one week post-migration with a 2-hour response objective; requests via email and Teams; WMP handles user-facing support thereafter. Essendis documents this in the Communications/support section.</t>
  </si>
  <si>
    <t xml:space="preserve">G-52</t>
  </si>
  <si>
    <t xml:space="preserve">There is no monitoring or alerting design</t>
  </si>
  <si>
    <t xml:space="preserve">WMP (8/25, via chat): Operations and support are out of scope.</t>
  </si>
  <si>
    <t xml:space="preserve">Scope decision: monitoring, alerting, and log-review design are out of engagement scope — WMP decides (an Azure subscription exists if Log Analytics is wanted). Essendis's remaining action is the G-03 cleanup: reword the design's break-glass 'Log Analytics in Azure' reference to reflect WMP-owned alerting.</t>
  </si>
  <si>
    <t xml:space="preserve">G-53</t>
  </si>
  <si>
    <t xml:space="preserve">Backup and recoverability for M365 data is not addressed</t>
  </si>
  <si>
    <t xml:space="preserve">Backups out of scope.</t>
  </si>
  <si>
    <t xml:space="preserve">Scope decision: Microsoft 365 backup out of scope — native retention, versioning, and recycle bins accepted.</t>
  </si>
  <si>
    <t xml:space="preserve">G-54</t>
  </si>
  <si>
    <t xml:space="preserve">Recurring operational tasks are never listed</t>
  </si>
  <si>
    <t xml:space="preserve">WMP owns all.</t>
  </si>
  <si>
    <t xml:space="preserve">Ownership decision: WMP owns all recurring renewals and reviews after handoff (include the renewal list in handoff documentation per G-63).</t>
  </si>
  <si>
    <t xml:space="preserve">G-55</t>
  </si>
  <si>
    <t xml:space="preserve">There is no change control process for the tenant after go-live</t>
  </si>
  <si>
    <t xml:space="preserve">WMP owns after handoff.</t>
  </si>
  <si>
    <t xml:space="preserve">Ownership decision: WMP owns tenant change control after handoff.</t>
  </si>
  <si>
    <t xml:space="preserve">G-56</t>
  </si>
  <si>
    <t xml:space="preserve">CUI Governance &amp; Compliance</t>
  </si>
  <si>
    <t xml:space="preserve">The CMMC assessment boundary is never defined</t>
  </si>
  <si>
    <t xml:space="preserve">All out of scope.</t>
  </si>
  <si>
    <t xml:space="preserve">Scope decision: CMMC boundary definition is out of this engagement's scope (RPO domain).</t>
  </si>
  <si>
    <t xml:space="preserve">G-57</t>
  </si>
  <si>
    <t xml:space="preserve">There is no traceability between the design's settings and the CMMC/NIST SP 800-171 practices, in either direction: the RPO control mapping that WBS 2.1.1 makes a hard gate has not been received, and the evidence package and Solution Configuration Document that WBS 2.9 delivers have no defined format or maintainer</t>
  </si>
  <si>
    <t xml:space="preserve">Essendis configuring all applicable M365 settings for control alignment using their approach and judgement - compliance is on the RPO and out of scope.</t>
  </si>
  <si>
    <t xml:space="preserve">Scope decision: Essendis configures all applicable M365 settings using its own approach and judgment; compliance mapping and evidence are the RPO's responsibility.</t>
  </si>
  <si>
    <t xml:space="preserve">G-58</t>
  </si>
  <si>
    <t xml:space="preserve">CUI information protection is undefined</t>
  </si>
  <si>
    <t xml:space="preserve">WMP (8/24): CUI label is the only part of taxonomy in scope. Manual labeling. DLP should block. Endpoint DLP in scope. Communication compliance out of scope.</t>
  </si>
  <si>
    <t xml:space="preserve">CUI protection: a single CUI sensitivity label, manually applied; DLP blocks on the CUI label across Exchange, Teams, SharePoint and OneDrive; Endpoint DLP in scope; Communication Compliance out of scope. Essendis proposes the label's marking/encryption behaviour and the endpoint restrictions (USB, print, clipboard) for WMP sign-off in the configuration document.</t>
  </si>
  <si>
    <t xml:space="preserve">G-59</t>
  </si>
  <si>
    <t xml:space="preserve">Retention and disposition are defined only in fragments — OneDrive 7 years for leavers, Teams recordings 180 days, spam quarantine 14 days, SharePoint 500 versions</t>
  </si>
  <si>
    <t xml:space="preserve">retention is out of scope.</t>
  </si>
  <si>
    <t xml:space="preserve">Scope decision: organisation-wide retention design out of scope; the existing per-workload fragments stand.</t>
  </si>
  <si>
    <t xml:space="preserve">G-60</t>
  </si>
  <si>
    <t xml:space="preserve">Audit logging is mentioned once, for Teams ("ensure audit logging is on")</t>
  </si>
  <si>
    <t xml:space="preserve">Known from WBS 2.6.2: audit retention is set to meet a CMMC 90-day minimum</t>
  </si>
  <si>
    <t xml:space="preserve">Audit logging enabled tenant-wide at initialization with mailbox auditing; retention meets the CMMC 90-day minimum (WBS 2.6.2). No extended export required.</t>
  </si>
  <si>
    <t xml:space="preserve">G-61</t>
  </si>
  <si>
    <t xml:space="preserve">DFARS 252.204-7012 operational obligations are not designed</t>
  </si>
  <si>
    <t xml:space="preserve">Out of scope</t>
  </si>
  <si>
    <t xml:space="preserve">Scope decision: DFARS 7012 incident-response operations out of scope (SOC contact placeholders remain tracked in G-17).</t>
  </si>
  <si>
    <t xml:space="preserve">G-62</t>
  </si>
  <si>
    <t xml:space="preserve">Only CallTower has a shared responsibility matrix</t>
  </si>
  <si>
    <t xml:space="preserve">Out of scope - not handling compliance and Avepoint not handling CUI.</t>
  </si>
  <si>
    <t xml:space="preserve">Scope decision: vendor SRM / flow-down collection out of scope; WMP position recorded: AvePoint does not handle CUI.</t>
  </si>
  <si>
    <t xml:space="preserve">G-63</t>
  </si>
  <si>
    <t xml:space="preserve">Documentation &amp; Handoff</t>
  </si>
  <si>
    <t xml:space="preserve">The documentation deliverables and their acceptance are not stated in the design</t>
  </si>
  <si>
    <t xml:space="preserve">Design Document, Configuration Document. WMP owns everything after handoff.</t>
  </si>
  <si>
    <t xml:space="preserve">Decision: documentation set is the Solution Design Document plus the Configuration Document; WMP owns all documentation after handoff.</t>
  </si>
  <si>
    <t xml:space="preserve">G-64</t>
  </si>
  <si>
    <t xml:space="preserve">The design contains no diagrams</t>
  </si>
  <si>
    <t xml:space="preserve">No diagrams are in scope.</t>
  </si>
  <si>
    <t xml:space="preserve">Scope decision: no diagrams in scope.</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</si>
</sst>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sz val="10"/>
      <color rgb="FF595959"/>
      <name val="Arial"/>
      <family val="0"/>
      <charset val="1"/>
    </font>
    <font>
      <sz val="9"/>
      <color rgb="FF595959"/>
      <name val="Arial"/>
      <family val="0"/>
      <charset val="1"/>
    </font>
    <font>
      <b val="true"/>
      <sz val="11"/>
      <color rgb="FF1F4E79"/>
      <name val="Arial"/>
      <family val="0"/>
      <charset val="1"/>
    </font>
    <font>
      <sz val="10"/>
      <color rgb="FF000000"/>
      <name val="Arial"/>
      <family val="0"/>
      <charset val="1"/>
    </font>
    <font>
      <b val="true"/>
      <sz val="10"/>
      <color rgb="FF000000"/>
      <name val="Arial"/>
      <family val="0"/>
      <charset val="1"/>
    </font>
    <font>
      <sz val="9"/>
      <color rgb="FF000000"/>
      <name val="Arial"/>
      <family val="0"/>
      <charset val="1"/>
    </font>
    <font>
      <sz val="9"/>
      <name val="Arial"/>
      <family val="0"/>
      <charset val="1"/>
    </font>
    <font>
      <b val="true"/>
      <sz val="9"/>
      <color rgb="FF000000"/>
      <name val="Arial"/>
      <family val="0"/>
      <charset val="1"/>
    </font>
    <font>
      <b val="true"/>
      <sz val="9"/>
      <name val="Arial"/>
      <family val="0"/>
      <charset val="1"/>
    </font>
    <font>
      <b val="true"/>
      <sz val="10"/>
      <color rgb="FFFFFFFF"/>
      <name val="Arial"/>
      <family val="0"/>
      <charset val="1"/>
    </font>
    <font>
      <sz val="10"/>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FCE4E4"/>
        <bgColor rgb="FFFFF3DC"/>
      </patternFill>
    </fill>
    <fill>
      <patternFill patternType="solid">
        <fgColor rgb="FFFFF3DC"/>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general" vertical="center"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5" fillId="3"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FCE4E4"/>
          <bgColor rgb="FF000000"/>
        </patternFill>
      </fill>
    </dxf>
    <dxf>
      <fill>
        <patternFill patternType="solid">
          <fgColor rgb="FFFFF3D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3D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3" min="3" style="1" width="14"/>
    <col collapsed="false" customWidth="true" hidden="false" outlineLevel="0" max="4" min="4" style="1" width="4"/>
    <col collapsed="false" customWidth="true" hidden="false" outlineLevel="0" max="5" min="5" style="1" width="26"/>
    <col collapsed="false" customWidth="true" hidden="false" outlineLevel="0" max="6" min="6" style="1" width="14"/>
  </cols>
  <sheetData>
    <row r="2" customFormat="false" ht="17.25" hidden="false" customHeight="true" outlineLevel="0" collapsed="false">
      <c r="B2" s="2" t="s">
        <v>0</v>
      </c>
    </row>
    <row r="3" customFormat="false" ht="15" hidden="false" customHeight="true" outlineLevel="0" collapsed="false">
      <c r="B3" s="3" t="s">
        <v>1</v>
      </c>
    </row>
    <row r="4" customFormat="false" ht="15" hidden="false" customHeight="true" outlineLevel="0" collapsed="false">
      <c r="B4" s="4" t="s">
        <v>2</v>
      </c>
    </row>
    <row r="6" customFormat="false" ht="15" hidden="false" customHeight="true" outlineLevel="0" collapsed="false">
      <c r="B6" s="5" t="s">
        <v>3</v>
      </c>
    </row>
    <row r="7" customFormat="false" ht="45.75" hidden="false" customHeight="true" outlineLevel="0" collapsed="false">
      <c r="B7" s="6" t="s">
        <v>4</v>
      </c>
      <c r="C7" s="6"/>
      <c r="D7" s="6"/>
      <c r="E7" s="6"/>
      <c r="F7" s="6"/>
    </row>
    <row r="9" customFormat="false" ht="15" hidden="false" customHeight="true" outlineLevel="0" collapsed="false">
      <c r="B9" s="5" t="s">
        <v>5</v>
      </c>
    </row>
    <row r="10" customFormat="false" ht="15" hidden="false" customHeight="true" outlineLevel="0" collapsed="false">
      <c r="B10" s="7" t="s">
        <v>6</v>
      </c>
    </row>
    <row r="11" customFormat="false" ht="24" hidden="false" customHeight="true" outlineLevel="0" collapsed="false">
      <c r="B11" s="8" t="s">
        <v>7</v>
      </c>
      <c r="C11" s="8"/>
      <c r="D11" s="8"/>
      <c r="E11" s="8"/>
      <c r="F11" s="8"/>
    </row>
    <row r="13" customFormat="false" ht="15" hidden="false" customHeight="true" outlineLevel="0" collapsed="false">
      <c r="B13" s="7" t="s">
        <v>8</v>
      </c>
    </row>
    <row r="14" customFormat="false" ht="24" hidden="false" customHeight="true" outlineLevel="0" collapsed="false">
      <c r="B14" s="8" t="s">
        <v>9</v>
      </c>
      <c r="C14" s="8"/>
      <c r="D14" s="8"/>
      <c r="E14" s="8"/>
      <c r="F14" s="8"/>
    </row>
    <row r="16" customFormat="false" ht="15" hidden="false" customHeight="true" outlineLevel="0" collapsed="false">
      <c r="B16" s="5" t="s">
        <v>10</v>
      </c>
    </row>
    <row r="17" customFormat="false" ht="15" hidden="false" customHeight="true" outlineLevel="0" collapsed="false">
      <c r="B17" s="7" t="s">
        <v>11</v>
      </c>
      <c r="E17" s="7" t="s">
        <v>12</v>
      </c>
    </row>
    <row r="18" customFormat="false" ht="15" hidden="false" customHeight="true" outlineLevel="0" collapsed="false">
      <c r="B18" s="9" t="s">
        <v>13</v>
      </c>
      <c r="C18" s="10" t="n">
        <f aca="false">COUNTIF('Gap Register'!B:B,B18)</f>
        <v>2</v>
      </c>
      <c r="E18" s="9" t="s">
        <v>14</v>
      </c>
      <c r="F18" s="10" t="n">
        <f aca="false">COUNTIF('Gap Register'!J:J,"High")</f>
        <v>11</v>
      </c>
    </row>
    <row r="19" customFormat="false" ht="15" hidden="false" customHeight="true" outlineLevel="0" collapsed="false">
      <c r="B19" s="9" t="s">
        <v>15</v>
      </c>
      <c r="C19" s="10" t="n">
        <f aca="false">COUNTIF('Gap Register'!B:B,B19)</f>
        <v>2</v>
      </c>
      <c r="E19" s="9" t="s">
        <v>16</v>
      </c>
      <c r="F19" s="10" t="n">
        <f aca="false">COUNTIF('Gap Register'!J:J,"Medium")</f>
        <v>2</v>
      </c>
    </row>
    <row r="20" customFormat="false" ht="15" hidden="false" customHeight="true" outlineLevel="0" collapsed="false">
      <c r="B20" s="9" t="s">
        <v>17</v>
      </c>
      <c r="C20" s="10" t="n">
        <f aca="false">COUNTIF('Gap Register'!B:B,B20)</f>
        <v>3</v>
      </c>
      <c r="E20" s="11" t="s">
        <v>18</v>
      </c>
      <c r="F20" s="12" t="n">
        <f aca="false">COUNTA('Gap Register'!A:A)-1</f>
        <v>13</v>
      </c>
    </row>
    <row r="21" customFormat="false" ht="15" hidden="false" customHeight="true" outlineLevel="0" collapsed="false">
      <c r="B21" s="9" t="s">
        <v>19</v>
      </c>
      <c r="C21" s="10" t="n">
        <f aca="false">COUNTIF('Gap Register'!B:B,B21)</f>
        <v>1</v>
      </c>
      <c r="E21" s="11" t="s">
        <v>20</v>
      </c>
      <c r="F21" s="12" t="n">
        <f aca="false">COUNTA('Resolved Decisions'!A:A)-1</f>
        <v>51</v>
      </c>
    </row>
    <row r="22" customFormat="false" ht="15" hidden="false" customHeight="true" outlineLevel="0" collapsed="false">
      <c r="B22" s="9" t="s">
        <v>21</v>
      </c>
      <c r="C22" s="10" t="n">
        <f aca="false">COUNTIF('Gap Register'!B:B,B22)</f>
        <v>3</v>
      </c>
    </row>
    <row r="23" customFormat="false" ht="15" hidden="false" customHeight="true" outlineLevel="0" collapsed="false">
      <c r="B23" s="9" t="s">
        <v>22</v>
      </c>
      <c r="C23" s="10" t="n">
        <f aca="false">COUNTIF('Gap Register'!B:B,B23)</f>
        <v>2</v>
      </c>
    </row>
    <row r="24" customFormat="false" ht="15" hidden="false" customHeight="true" outlineLevel="0" collapsed="false">
      <c r="B24" s="9" t="s">
        <v>23</v>
      </c>
      <c r="C24" s="10" t="n">
        <f aca="false">COUNTIF('Gap Register'!B:B,B24)</f>
        <v>0</v>
      </c>
    </row>
    <row r="25" customFormat="false" ht="15" hidden="false" customHeight="true" outlineLevel="0" collapsed="false">
      <c r="B25" s="9" t="s">
        <v>24</v>
      </c>
      <c r="C25" s="10" t="n">
        <f aca="false">COUNTIF('Gap Register'!B:B,B25)</f>
        <v>0</v>
      </c>
    </row>
  </sheetData>
  <mergeCells count="3">
    <mergeCell ref="B7:F7"/>
    <mergeCell ref="B11:F11"/>
    <mergeCell ref="B14:F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7"/>
    <col collapsed="false" customWidth="true" hidden="false" outlineLevel="0" max="2" min="2" style="1" width="26"/>
    <col collapsed="false" customWidth="true" hidden="false" outlineLevel="0" max="3" min="3" style="1" width="40"/>
    <col collapsed="false" customWidth="true" hidden="false" outlineLevel="0" max="4" min="4" style="1" width="18"/>
    <col collapsed="false" customWidth="true" hidden="false" outlineLevel="0" max="5" min="5" style="1" width="40"/>
    <col collapsed="false" customWidth="true" hidden="false" outlineLevel="0" max="6" min="6" style="1" width="62"/>
    <col collapsed="false" customWidth="true" hidden="false" outlineLevel="0" max="7" min="7" style="1" width="44"/>
    <col collapsed="false" customWidth="true" hidden="false" outlineLevel="0" max="8" min="8" style="1" width="24"/>
    <col collapsed="false" customWidth="true" hidden="false" outlineLevel="0" max="9" min="9" style="1" width="16"/>
    <col collapsed="false" customWidth="true" hidden="false" outlineLevel="0" max="10" min="10" style="1" width="9"/>
    <col collapsed="false" customWidth="true" hidden="false" outlineLevel="0" max="11" min="11" style="1" width="8"/>
  </cols>
  <sheetData>
    <row r="1" customFormat="false" ht="15" hidden="false" customHeight="true" outlineLevel="0" collapsed="false">
      <c r="A1" s="13" t="s">
        <v>25</v>
      </c>
      <c r="B1" s="13" t="s">
        <v>26</v>
      </c>
      <c r="C1" s="13" t="s">
        <v>27</v>
      </c>
      <c r="D1" s="13" t="s">
        <v>28</v>
      </c>
      <c r="E1" s="13" t="s">
        <v>29</v>
      </c>
      <c r="F1" s="13" t="s">
        <v>30</v>
      </c>
      <c r="G1" s="13" t="s">
        <v>31</v>
      </c>
      <c r="H1" s="13" t="s">
        <v>32</v>
      </c>
      <c r="I1" s="13" t="s">
        <v>8</v>
      </c>
      <c r="J1" s="13" t="s">
        <v>6</v>
      </c>
      <c r="K1" s="13" t="s">
        <v>33</v>
      </c>
    </row>
    <row r="2" customFormat="false" ht="68.25" hidden="false" customHeight="true" outlineLevel="0" collapsed="false">
      <c r="A2" s="14" t="s">
        <v>34</v>
      </c>
      <c r="B2" s="14" t="s">
        <v>13</v>
      </c>
      <c r="C2" s="14" t="s">
        <v>35</v>
      </c>
      <c r="D2" s="14" t="s">
        <v>36</v>
      </c>
      <c r="E2" s="14" t="s">
        <v>37</v>
      </c>
      <c r="F2" s="14" t="s">
        <v>38</v>
      </c>
      <c r="G2" s="14"/>
      <c r="H2" s="14" t="s">
        <v>39</v>
      </c>
      <c r="I2" s="14" t="s">
        <v>40</v>
      </c>
      <c r="J2" s="15" t="s">
        <v>41</v>
      </c>
      <c r="K2" s="14" t="s">
        <v>42</v>
      </c>
    </row>
    <row r="3" customFormat="false" ht="57" hidden="false" customHeight="true" outlineLevel="0" collapsed="false">
      <c r="A3" s="14" t="s">
        <v>43</v>
      </c>
      <c r="B3" s="14" t="s">
        <v>13</v>
      </c>
      <c r="C3" s="14" t="s">
        <v>44</v>
      </c>
      <c r="D3" s="14" t="s">
        <v>45</v>
      </c>
      <c r="E3" s="14" t="s">
        <v>46</v>
      </c>
      <c r="F3" s="14" t="s">
        <v>47</v>
      </c>
      <c r="G3" s="14" t="s">
        <v>48</v>
      </c>
      <c r="H3" s="14" t="s">
        <v>49</v>
      </c>
      <c r="I3" s="14" t="s">
        <v>40</v>
      </c>
      <c r="J3" s="16" t="s">
        <v>50</v>
      </c>
      <c r="K3" s="14" t="s">
        <v>42</v>
      </c>
    </row>
    <row r="4" customFormat="false" ht="79.5" hidden="false" customHeight="true" outlineLevel="0" collapsed="false">
      <c r="A4" s="14" t="s">
        <v>51</v>
      </c>
      <c r="B4" s="14" t="s">
        <v>15</v>
      </c>
      <c r="C4" s="14" t="s">
        <v>52</v>
      </c>
      <c r="D4" s="14" t="s">
        <v>53</v>
      </c>
      <c r="E4" s="14" t="s">
        <v>54</v>
      </c>
      <c r="F4" s="14" t="s">
        <v>55</v>
      </c>
      <c r="G4" s="14" t="s">
        <v>56</v>
      </c>
      <c r="H4" s="14" t="s">
        <v>57</v>
      </c>
      <c r="I4" s="14" t="s">
        <v>40</v>
      </c>
      <c r="J4" s="15" t="s">
        <v>41</v>
      </c>
      <c r="K4" s="14" t="s">
        <v>42</v>
      </c>
    </row>
    <row r="5" customFormat="false" ht="57" hidden="false" customHeight="true" outlineLevel="0" collapsed="false">
      <c r="A5" s="14" t="s">
        <v>58</v>
      </c>
      <c r="B5" s="14" t="s">
        <v>15</v>
      </c>
      <c r="C5" s="14" t="s">
        <v>59</v>
      </c>
      <c r="D5" s="14" t="s">
        <v>45</v>
      </c>
      <c r="E5" s="14" t="s">
        <v>60</v>
      </c>
      <c r="F5" s="14" t="s">
        <v>61</v>
      </c>
      <c r="G5" s="14" t="s">
        <v>62</v>
      </c>
      <c r="H5" s="14" t="s">
        <v>63</v>
      </c>
      <c r="I5" s="14" t="s">
        <v>40</v>
      </c>
      <c r="J5" s="15" t="s">
        <v>41</v>
      </c>
      <c r="K5" s="14" t="s">
        <v>42</v>
      </c>
    </row>
    <row r="6" customFormat="false" ht="57" hidden="false" customHeight="true" outlineLevel="0" collapsed="false">
      <c r="A6" s="14" t="s">
        <v>64</v>
      </c>
      <c r="B6" s="14" t="s">
        <v>17</v>
      </c>
      <c r="C6" s="14" t="s">
        <v>65</v>
      </c>
      <c r="D6" s="14" t="s">
        <v>53</v>
      </c>
      <c r="E6" s="14" t="s">
        <v>66</v>
      </c>
      <c r="F6" s="14" t="s">
        <v>67</v>
      </c>
      <c r="G6" s="14"/>
      <c r="H6" s="14" t="s">
        <v>68</v>
      </c>
      <c r="I6" s="14" t="s">
        <v>40</v>
      </c>
      <c r="J6" s="15" t="s">
        <v>41</v>
      </c>
      <c r="K6" s="14" t="s">
        <v>42</v>
      </c>
    </row>
    <row r="7" customFormat="false" ht="57" hidden="false" customHeight="true" outlineLevel="0" collapsed="false">
      <c r="A7" s="14" t="s">
        <v>69</v>
      </c>
      <c r="B7" s="14" t="s">
        <v>17</v>
      </c>
      <c r="C7" s="14" t="s">
        <v>70</v>
      </c>
      <c r="D7" s="14" t="s">
        <v>45</v>
      </c>
      <c r="E7" s="14" t="s">
        <v>71</v>
      </c>
      <c r="F7" s="14" t="s">
        <v>72</v>
      </c>
      <c r="G7" s="14"/>
      <c r="H7" s="14" t="s">
        <v>73</v>
      </c>
      <c r="I7" s="14" t="s">
        <v>40</v>
      </c>
      <c r="J7" s="15" t="s">
        <v>41</v>
      </c>
      <c r="K7" s="14" t="s">
        <v>42</v>
      </c>
    </row>
    <row r="8" customFormat="false" ht="57" hidden="false" customHeight="true" outlineLevel="0" collapsed="false">
      <c r="A8" s="14" t="s">
        <v>74</v>
      </c>
      <c r="B8" s="14" t="s">
        <v>17</v>
      </c>
      <c r="C8" s="14" t="s">
        <v>75</v>
      </c>
      <c r="D8" s="14" t="s">
        <v>36</v>
      </c>
      <c r="E8" s="14" t="s">
        <v>76</v>
      </c>
      <c r="F8" s="14" t="s">
        <v>77</v>
      </c>
      <c r="G8" s="14" t="s">
        <v>78</v>
      </c>
      <c r="H8" s="14" t="s">
        <v>79</v>
      </c>
      <c r="I8" s="14" t="s">
        <v>40</v>
      </c>
      <c r="J8" s="16" t="s">
        <v>50</v>
      </c>
      <c r="K8" s="14" t="s">
        <v>42</v>
      </c>
    </row>
    <row r="9" customFormat="false" ht="57" hidden="false" customHeight="true" outlineLevel="0" collapsed="false">
      <c r="A9" s="14" t="s">
        <v>80</v>
      </c>
      <c r="B9" s="14" t="s">
        <v>19</v>
      </c>
      <c r="C9" s="14" t="s">
        <v>81</v>
      </c>
      <c r="D9" s="14" t="s">
        <v>45</v>
      </c>
      <c r="E9" s="14" t="s">
        <v>82</v>
      </c>
      <c r="F9" s="14" t="s">
        <v>83</v>
      </c>
      <c r="G9" s="14" t="s">
        <v>84</v>
      </c>
      <c r="H9" s="14" t="s">
        <v>85</v>
      </c>
      <c r="I9" s="14" t="s">
        <v>86</v>
      </c>
      <c r="J9" s="15" t="s">
        <v>41</v>
      </c>
      <c r="K9" s="14" t="s">
        <v>42</v>
      </c>
    </row>
    <row r="10" customFormat="false" ht="57" hidden="false" customHeight="true" outlineLevel="0" collapsed="false">
      <c r="A10" s="14" t="s">
        <v>87</v>
      </c>
      <c r="B10" s="14" t="s">
        <v>21</v>
      </c>
      <c r="C10" s="14" t="s">
        <v>88</v>
      </c>
      <c r="D10" s="14" t="s">
        <v>45</v>
      </c>
      <c r="E10" s="14" t="s">
        <v>89</v>
      </c>
      <c r="F10" s="14" t="s">
        <v>90</v>
      </c>
      <c r="G10" s="14" t="s">
        <v>91</v>
      </c>
      <c r="H10" s="14" t="s">
        <v>92</v>
      </c>
      <c r="I10" s="14" t="s">
        <v>40</v>
      </c>
      <c r="J10" s="15" t="s">
        <v>41</v>
      </c>
      <c r="K10" s="14" t="s">
        <v>42</v>
      </c>
    </row>
    <row r="11" customFormat="false" ht="68.25" hidden="false" customHeight="true" outlineLevel="0" collapsed="false">
      <c r="A11" s="14" t="s">
        <v>93</v>
      </c>
      <c r="B11" s="14" t="s">
        <v>21</v>
      </c>
      <c r="C11" s="14" t="s">
        <v>94</v>
      </c>
      <c r="D11" s="14" t="s">
        <v>53</v>
      </c>
      <c r="E11" s="14" t="s">
        <v>95</v>
      </c>
      <c r="F11" s="14" t="s">
        <v>96</v>
      </c>
      <c r="G11" s="14" t="s">
        <v>97</v>
      </c>
      <c r="H11" s="14" t="s">
        <v>98</v>
      </c>
      <c r="I11" s="14" t="s">
        <v>40</v>
      </c>
      <c r="J11" s="15" t="s">
        <v>41</v>
      </c>
      <c r="K11" s="14" t="s">
        <v>42</v>
      </c>
    </row>
    <row r="12" customFormat="false" ht="68.25" hidden="false" customHeight="true" outlineLevel="0" collapsed="false">
      <c r="A12" s="14" t="s">
        <v>99</v>
      </c>
      <c r="B12" s="14" t="s">
        <v>21</v>
      </c>
      <c r="C12" s="14" t="s">
        <v>100</v>
      </c>
      <c r="D12" s="14" t="s">
        <v>45</v>
      </c>
      <c r="E12" s="14" t="s">
        <v>101</v>
      </c>
      <c r="F12" s="14" t="s">
        <v>102</v>
      </c>
      <c r="G12" s="14"/>
      <c r="H12" s="14" t="s">
        <v>103</v>
      </c>
      <c r="I12" s="14" t="s">
        <v>40</v>
      </c>
      <c r="J12" s="15" t="s">
        <v>41</v>
      </c>
      <c r="K12" s="14" t="s">
        <v>42</v>
      </c>
    </row>
    <row r="13" customFormat="false" ht="57" hidden="false" customHeight="true" outlineLevel="0" collapsed="false">
      <c r="A13" s="14" t="s">
        <v>104</v>
      </c>
      <c r="B13" s="14" t="s">
        <v>22</v>
      </c>
      <c r="C13" s="14" t="s">
        <v>105</v>
      </c>
      <c r="D13" s="14" t="s">
        <v>53</v>
      </c>
      <c r="E13" s="14" t="s">
        <v>106</v>
      </c>
      <c r="F13" s="14" t="s">
        <v>107</v>
      </c>
      <c r="G13" s="14" t="s">
        <v>108</v>
      </c>
      <c r="H13" s="14" t="s">
        <v>109</v>
      </c>
      <c r="I13" s="14" t="s">
        <v>110</v>
      </c>
      <c r="J13" s="15" t="s">
        <v>41</v>
      </c>
      <c r="K13" s="14" t="s">
        <v>42</v>
      </c>
    </row>
    <row r="14" customFormat="false" ht="57" hidden="false" customHeight="true" outlineLevel="0" collapsed="false">
      <c r="A14" s="14" t="s">
        <v>111</v>
      </c>
      <c r="B14" s="14" t="s">
        <v>22</v>
      </c>
      <c r="C14" s="14" t="s">
        <v>112</v>
      </c>
      <c r="D14" s="14" t="s">
        <v>53</v>
      </c>
      <c r="E14" s="14" t="s">
        <v>113</v>
      </c>
      <c r="F14" s="14" t="s">
        <v>114</v>
      </c>
      <c r="G14" s="14"/>
      <c r="H14" s="14" t="s">
        <v>115</v>
      </c>
      <c r="I14" s="14" t="s">
        <v>40</v>
      </c>
      <c r="J14" s="15" t="s">
        <v>41</v>
      </c>
      <c r="K14" s="14" t="s">
        <v>42</v>
      </c>
    </row>
    <row r="15" customFormat="false" ht="68.25" hidden="false" customHeight="true" outlineLevel="0" collapsed="false">
      <c r="A15" s="17"/>
      <c r="B15" s="17"/>
      <c r="C15" s="17"/>
      <c r="D15" s="17"/>
      <c r="E15" s="17"/>
      <c r="F15" s="17"/>
      <c r="G15" s="17"/>
      <c r="H15" s="17"/>
      <c r="I15" s="17"/>
      <c r="J15" s="17"/>
      <c r="K15" s="17"/>
    </row>
    <row r="16" customFormat="false" ht="57" hidden="false" customHeight="true" outlineLevel="0" collapsed="false">
      <c r="A16" s="17"/>
      <c r="B16" s="17"/>
      <c r="C16" s="17"/>
      <c r="D16" s="17"/>
      <c r="E16" s="17"/>
      <c r="F16" s="17"/>
      <c r="G16" s="17"/>
      <c r="H16" s="17"/>
      <c r="I16" s="17"/>
      <c r="J16" s="17"/>
      <c r="K16" s="17"/>
    </row>
    <row r="17" customFormat="false" ht="45.75" hidden="false" customHeight="true" outlineLevel="0" collapsed="false">
      <c r="A17" s="17"/>
      <c r="B17" s="17"/>
      <c r="C17" s="17"/>
      <c r="D17" s="17"/>
      <c r="E17" s="17"/>
      <c r="F17" s="17"/>
      <c r="G17" s="17"/>
      <c r="H17" s="17"/>
      <c r="I17" s="17"/>
      <c r="J17" s="17"/>
      <c r="K17" s="17"/>
    </row>
  </sheetData>
  <autoFilter ref="A1:K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7"/>
    <col collapsed="false" customWidth="true" hidden="false" outlineLevel="0" max="2" min="2" style="1" width="26"/>
    <col collapsed="false" customWidth="true" hidden="false" outlineLevel="0" max="3" min="3" style="1" width="44"/>
    <col collapsed="false" customWidth="true" hidden="false" outlineLevel="0" max="5" min="4" style="1" width="52"/>
  </cols>
  <sheetData>
    <row r="1" customFormat="false" ht="15" hidden="false" customHeight="true" outlineLevel="0" collapsed="false">
      <c r="A1" s="13" t="s">
        <v>25</v>
      </c>
      <c r="B1" s="13" t="s">
        <v>26</v>
      </c>
      <c r="C1" s="13" t="s">
        <v>116</v>
      </c>
      <c r="D1" s="13" t="s">
        <v>117</v>
      </c>
      <c r="E1" s="13" t="s">
        <v>118</v>
      </c>
    </row>
    <row r="2" customFormat="false" ht="45.75" hidden="false" customHeight="true" outlineLevel="0" collapsed="false">
      <c r="A2" s="14" t="s">
        <v>119</v>
      </c>
      <c r="B2" s="14" t="s">
        <v>17</v>
      </c>
      <c r="C2" s="14" t="s">
        <v>120</v>
      </c>
      <c r="D2" s="14" t="s">
        <v>121</v>
      </c>
      <c r="E2" s="14" t="s">
        <v>122</v>
      </c>
    </row>
    <row r="3" customFormat="false" ht="34.5" hidden="false" customHeight="true" outlineLevel="0" collapsed="false">
      <c r="A3" s="14" t="s">
        <v>123</v>
      </c>
      <c r="B3" s="14" t="s">
        <v>124</v>
      </c>
      <c r="C3" s="14" t="s">
        <v>125</v>
      </c>
      <c r="D3" s="14" t="s">
        <v>126</v>
      </c>
      <c r="E3" s="14" t="s">
        <v>127</v>
      </c>
    </row>
    <row r="4" customFormat="false" ht="68.25" hidden="false" customHeight="true" outlineLevel="0" collapsed="false">
      <c r="A4" s="14" t="s">
        <v>128</v>
      </c>
      <c r="B4" s="14" t="s">
        <v>124</v>
      </c>
      <c r="C4" s="14" t="s">
        <v>129</v>
      </c>
      <c r="D4" s="14" t="s">
        <v>130</v>
      </c>
      <c r="E4" s="14" t="s">
        <v>131</v>
      </c>
    </row>
    <row r="5" customFormat="false" ht="45.75" hidden="false" customHeight="true" outlineLevel="0" collapsed="false">
      <c r="A5" s="14" t="s">
        <v>132</v>
      </c>
      <c r="B5" s="14" t="s">
        <v>124</v>
      </c>
      <c r="C5" s="14" t="s">
        <v>133</v>
      </c>
      <c r="D5" s="14" t="s">
        <v>134</v>
      </c>
      <c r="E5" s="14" t="s">
        <v>135</v>
      </c>
    </row>
    <row r="6" customFormat="false" ht="34.5" hidden="false" customHeight="true" outlineLevel="0" collapsed="false">
      <c r="A6" s="14" t="s">
        <v>136</v>
      </c>
      <c r="B6" s="14" t="s">
        <v>124</v>
      </c>
      <c r="C6" s="14" t="s">
        <v>137</v>
      </c>
      <c r="D6" s="14" t="s">
        <v>138</v>
      </c>
      <c r="E6" s="14" t="s">
        <v>139</v>
      </c>
    </row>
    <row r="7" customFormat="false" ht="180" hidden="false" customHeight="true" outlineLevel="0" collapsed="false">
      <c r="A7" s="14" t="s">
        <v>140</v>
      </c>
      <c r="B7" s="14" t="s">
        <v>141</v>
      </c>
      <c r="C7" s="14" t="s">
        <v>142</v>
      </c>
      <c r="D7" s="14" t="s">
        <v>143</v>
      </c>
      <c r="E7" s="14" t="s">
        <v>144</v>
      </c>
    </row>
    <row r="8" customFormat="false" ht="34.5" hidden="false" customHeight="true" outlineLevel="0" collapsed="false">
      <c r="A8" s="14" t="s">
        <v>145</v>
      </c>
      <c r="B8" s="14" t="s">
        <v>141</v>
      </c>
      <c r="C8" s="14" t="s">
        <v>146</v>
      </c>
      <c r="D8" s="14" t="s">
        <v>147</v>
      </c>
      <c r="E8" s="14" t="s">
        <v>148</v>
      </c>
    </row>
    <row r="9" customFormat="false" ht="45.75" hidden="false" customHeight="true" outlineLevel="0" collapsed="false">
      <c r="A9" s="14" t="s">
        <v>149</v>
      </c>
      <c r="B9" s="14" t="s">
        <v>150</v>
      </c>
      <c r="C9" s="14" t="s">
        <v>151</v>
      </c>
      <c r="D9" s="14" t="s">
        <v>152</v>
      </c>
      <c r="E9" s="14" t="s">
        <v>153</v>
      </c>
    </row>
    <row r="10" customFormat="false" ht="57" hidden="false" customHeight="true" outlineLevel="0" collapsed="false">
      <c r="A10" s="14" t="s">
        <v>154</v>
      </c>
      <c r="B10" s="14" t="s">
        <v>150</v>
      </c>
      <c r="C10" s="14" t="s">
        <v>155</v>
      </c>
      <c r="D10" s="14" t="s">
        <v>156</v>
      </c>
      <c r="E10" s="14" t="s">
        <v>157</v>
      </c>
    </row>
    <row r="11" customFormat="false" ht="23.25" hidden="false" customHeight="true" outlineLevel="0" collapsed="false">
      <c r="A11" s="14" t="s">
        <v>158</v>
      </c>
      <c r="B11" s="14" t="s">
        <v>150</v>
      </c>
      <c r="C11" s="14" t="s">
        <v>159</v>
      </c>
      <c r="D11" s="14" t="s">
        <v>160</v>
      </c>
      <c r="E11" s="14" t="s">
        <v>161</v>
      </c>
    </row>
    <row r="12" customFormat="false" ht="57" hidden="false" customHeight="true" outlineLevel="0" collapsed="false">
      <c r="A12" s="14" t="s">
        <v>162</v>
      </c>
      <c r="B12" s="14" t="s">
        <v>150</v>
      </c>
      <c r="C12" s="14" t="s">
        <v>163</v>
      </c>
      <c r="D12" s="14" t="s">
        <v>164</v>
      </c>
      <c r="E12" s="14" t="s">
        <v>165</v>
      </c>
    </row>
    <row r="13" customFormat="false" ht="34.5" hidden="false" customHeight="true" outlineLevel="0" collapsed="false">
      <c r="A13" s="14" t="s">
        <v>166</v>
      </c>
      <c r="B13" s="14" t="s">
        <v>150</v>
      </c>
      <c r="C13" s="14" t="s">
        <v>167</v>
      </c>
      <c r="D13" s="14" t="s">
        <v>168</v>
      </c>
      <c r="E13" s="14" t="s">
        <v>169</v>
      </c>
    </row>
    <row r="14" customFormat="false" ht="45.75" hidden="false" customHeight="true" outlineLevel="0" collapsed="false">
      <c r="A14" s="14" t="s">
        <v>170</v>
      </c>
      <c r="B14" s="14" t="s">
        <v>150</v>
      </c>
      <c r="C14" s="14" t="s">
        <v>171</v>
      </c>
      <c r="D14" s="14" t="s">
        <v>172</v>
      </c>
      <c r="E14" s="14" t="s">
        <v>173</v>
      </c>
    </row>
    <row r="15" customFormat="false" ht="45.75" hidden="false" customHeight="true" outlineLevel="0" collapsed="false">
      <c r="A15" s="14" t="s">
        <v>174</v>
      </c>
      <c r="B15" s="14" t="s">
        <v>175</v>
      </c>
      <c r="C15" s="14" t="s">
        <v>176</v>
      </c>
      <c r="D15" s="14" t="s">
        <v>177</v>
      </c>
      <c r="E15" s="14" t="s">
        <v>178</v>
      </c>
    </row>
    <row r="16" customFormat="false" ht="45.75" hidden="false" customHeight="true" outlineLevel="0" collapsed="false">
      <c r="A16" s="14" t="s">
        <v>179</v>
      </c>
      <c r="B16" s="14" t="s">
        <v>175</v>
      </c>
      <c r="C16" s="14" t="s">
        <v>180</v>
      </c>
      <c r="D16" s="14" t="s">
        <v>181</v>
      </c>
      <c r="E16" s="14" t="s">
        <v>182</v>
      </c>
    </row>
    <row r="17" customFormat="false" ht="45.75" hidden="false" customHeight="true" outlineLevel="0" collapsed="false">
      <c r="A17" s="14" t="s">
        <v>183</v>
      </c>
      <c r="B17" s="14" t="s">
        <v>175</v>
      </c>
      <c r="C17" s="14" t="s">
        <v>184</v>
      </c>
      <c r="D17" s="14" t="s">
        <v>185</v>
      </c>
      <c r="E17" s="14" t="s">
        <v>186</v>
      </c>
    </row>
    <row r="18" customFormat="false" ht="45.75" hidden="false" customHeight="true" outlineLevel="0" collapsed="false">
      <c r="A18" s="14" t="s">
        <v>187</v>
      </c>
      <c r="B18" s="14" t="s">
        <v>175</v>
      </c>
      <c r="C18" s="14" t="s">
        <v>188</v>
      </c>
      <c r="D18" s="14" t="s">
        <v>189</v>
      </c>
      <c r="E18" s="14" t="s">
        <v>190</v>
      </c>
    </row>
    <row r="19" customFormat="false" ht="45.75" hidden="false" customHeight="true" outlineLevel="0" collapsed="false">
      <c r="A19" s="14" t="s">
        <v>191</v>
      </c>
      <c r="B19" s="14" t="s">
        <v>13</v>
      </c>
      <c r="C19" s="14" t="s">
        <v>192</v>
      </c>
      <c r="D19" s="14" t="s">
        <v>193</v>
      </c>
      <c r="E19" s="14" t="s">
        <v>194</v>
      </c>
    </row>
    <row r="20" customFormat="false" ht="45.75" hidden="false" customHeight="true" outlineLevel="0" collapsed="false">
      <c r="A20" s="14" t="s">
        <v>195</v>
      </c>
      <c r="B20" s="14" t="s">
        <v>15</v>
      </c>
      <c r="C20" s="14" t="s">
        <v>196</v>
      </c>
      <c r="D20" s="14" t="s">
        <v>197</v>
      </c>
      <c r="E20" s="14" t="s">
        <v>198</v>
      </c>
    </row>
    <row r="21" customFormat="false" ht="68.25" hidden="false" customHeight="true" outlineLevel="0" collapsed="false">
      <c r="A21" s="14" t="s">
        <v>199</v>
      </c>
      <c r="B21" s="14" t="s">
        <v>17</v>
      </c>
      <c r="C21" s="14" t="s">
        <v>200</v>
      </c>
      <c r="D21" s="14" t="s">
        <v>201</v>
      </c>
      <c r="E21" s="14" t="s">
        <v>202</v>
      </c>
    </row>
    <row r="22" customFormat="false" ht="45.75" hidden="false" customHeight="true" outlineLevel="0" collapsed="false">
      <c r="A22" s="14" t="s">
        <v>203</v>
      </c>
      <c r="B22" s="14" t="s">
        <v>17</v>
      </c>
      <c r="C22" s="14" t="s">
        <v>204</v>
      </c>
      <c r="D22" s="14" t="s">
        <v>205</v>
      </c>
      <c r="E22" s="14" t="s">
        <v>206</v>
      </c>
    </row>
    <row r="23" customFormat="false" ht="68.25" hidden="false" customHeight="true" outlineLevel="0" collapsed="false">
      <c r="A23" s="14" t="s">
        <v>207</v>
      </c>
      <c r="B23" s="14" t="s">
        <v>17</v>
      </c>
      <c r="C23" s="14" t="s">
        <v>208</v>
      </c>
      <c r="D23" s="14" t="s">
        <v>209</v>
      </c>
      <c r="E23" s="14" t="s">
        <v>210</v>
      </c>
    </row>
    <row r="24" customFormat="false" ht="34.5" hidden="false" customHeight="true" outlineLevel="0" collapsed="false">
      <c r="A24" s="14" t="s">
        <v>211</v>
      </c>
      <c r="B24" s="14" t="s">
        <v>17</v>
      </c>
      <c r="C24" s="14" t="s">
        <v>212</v>
      </c>
      <c r="D24" s="14" t="s">
        <v>213</v>
      </c>
      <c r="E24" s="14" t="s">
        <v>214</v>
      </c>
    </row>
    <row r="25" customFormat="false" ht="45.75" hidden="false" customHeight="true" outlineLevel="0" collapsed="false">
      <c r="A25" s="14" t="s">
        <v>215</v>
      </c>
      <c r="B25" s="14" t="s">
        <v>17</v>
      </c>
      <c r="C25" s="14" t="s">
        <v>216</v>
      </c>
      <c r="D25" s="14" t="s">
        <v>217</v>
      </c>
      <c r="E25" s="14" t="s">
        <v>218</v>
      </c>
    </row>
    <row r="26" customFormat="false" ht="45.75" hidden="false" customHeight="true" outlineLevel="0" collapsed="false">
      <c r="A26" s="14" t="s">
        <v>219</v>
      </c>
      <c r="B26" s="14" t="s">
        <v>17</v>
      </c>
      <c r="C26" s="14" t="s">
        <v>220</v>
      </c>
      <c r="D26" s="14" t="s">
        <v>221</v>
      </c>
      <c r="E26" s="14" t="s">
        <v>222</v>
      </c>
    </row>
    <row r="27" customFormat="false" ht="45.75" hidden="false" customHeight="true" outlineLevel="0" collapsed="false">
      <c r="A27" s="14" t="s">
        <v>223</v>
      </c>
      <c r="B27" s="14" t="s">
        <v>17</v>
      </c>
      <c r="C27" s="14" t="s">
        <v>224</v>
      </c>
      <c r="D27" s="14" t="s">
        <v>225</v>
      </c>
      <c r="E27" s="14" t="s">
        <v>226</v>
      </c>
    </row>
    <row r="28" customFormat="false" ht="34.5" hidden="false" customHeight="true" outlineLevel="0" collapsed="false">
      <c r="A28" s="14" t="s">
        <v>227</v>
      </c>
      <c r="B28" s="14" t="s">
        <v>19</v>
      </c>
      <c r="C28" s="14" t="s">
        <v>228</v>
      </c>
      <c r="D28" s="14" t="s">
        <v>229</v>
      </c>
      <c r="E28" s="14" t="s">
        <v>230</v>
      </c>
    </row>
    <row r="29" customFormat="false" ht="45.75" hidden="false" customHeight="true" outlineLevel="0" collapsed="false">
      <c r="A29" s="14" t="s">
        <v>231</v>
      </c>
      <c r="B29" s="14" t="s">
        <v>19</v>
      </c>
      <c r="C29" s="14" t="s">
        <v>232</v>
      </c>
      <c r="D29" s="14" t="s">
        <v>233</v>
      </c>
      <c r="E29" s="14" t="s">
        <v>234</v>
      </c>
    </row>
    <row r="30" customFormat="false" ht="23.25" hidden="false" customHeight="true" outlineLevel="0" collapsed="false">
      <c r="A30" s="14" t="s">
        <v>235</v>
      </c>
      <c r="B30" s="14" t="s">
        <v>19</v>
      </c>
      <c r="C30" s="14" t="s">
        <v>236</v>
      </c>
      <c r="D30" s="14" t="s">
        <v>237</v>
      </c>
      <c r="E30" s="14" t="s">
        <v>238</v>
      </c>
    </row>
    <row r="31" customFormat="false" ht="45.75" hidden="false" customHeight="true" outlineLevel="0" collapsed="false">
      <c r="A31" s="14" t="s">
        <v>239</v>
      </c>
      <c r="B31" s="14" t="s">
        <v>21</v>
      </c>
      <c r="C31" s="14" t="s">
        <v>240</v>
      </c>
      <c r="D31" s="14" t="s">
        <v>241</v>
      </c>
      <c r="E31" s="14" t="s">
        <v>242</v>
      </c>
    </row>
    <row r="32" customFormat="false" ht="23.25" hidden="false" customHeight="true" outlineLevel="0" collapsed="false">
      <c r="A32" s="14" t="s">
        <v>243</v>
      </c>
      <c r="B32" s="14" t="s">
        <v>21</v>
      </c>
      <c r="C32" s="14" t="s">
        <v>244</v>
      </c>
      <c r="D32" s="14" t="s">
        <v>245</v>
      </c>
      <c r="E32" s="14" t="s">
        <v>246</v>
      </c>
    </row>
    <row r="33" customFormat="false" ht="45.75" hidden="false" customHeight="true" outlineLevel="0" collapsed="false">
      <c r="A33" s="14" t="s">
        <v>247</v>
      </c>
      <c r="B33" s="14" t="s">
        <v>21</v>
      </c>
      <c r="C33" s="14" t="s">
        <v>248</v>
      </c>
      <c r="D33" s="14" t="s">
        <v>249</v>
      </c>
      <c r="E33" s="14" t="s">
        <v>250</v>
      </c>
    </row>
    <row r="34" customFormat="false" ht="15" hidden="false" customHeight="true" outlineLevel="0" collapsed="false">
      <c r="A34" s="14" t="s">
        <v>251</v>
      </c>
      <c r="B34" s="14" t="s">
        <v>21</v>
      </c>
      <c r="C34" s="14" t="s">
        <v>252</v>
      </c>
      <c r="D34" s="14" t="s">
        <v>253</v>
      </c>
      <c r="E34" s="14" t="s">
        <v>254</v>
      </c>
    </row>
    <row r="35" customFormat="false" ht="45.75" hidden="false" customHeight="true" outlineLevel="0" collapsed="false">
      <c r="A35" s="14" t="s">
        <v>255</v>
      </c>
      <c r="B35" s="14" t="s">
        <v>21</v>
      </c>
      <c r="C35" s="14" t="s">
        <v>256</v>
      </c>
      <c r="D35" s="14" t="s">
        <v>257</v>
      </c>
      <c r="E35" s="14" t="s">
        <v>258</v>
      </c>
    </row>
    <row r="36" customFormat="false" ht="34.5" hidden="false" customHeight="true" outlineLevel="0" collapsed="false">
      <c r="A36" s="14" t="s">
        <v>259</v>
      </c>
      <c r="B36" s="14" t="s">
        <v>22</v>
      </c>
      <c r="C36" s="14" t="s">
        <v>260</v>
      </c>
      <c r="D36" s="14" t="s">
        <v>261</v>
      </c>
      <c r="E36" s="14" t="s">
        <v>262</v>
      </c>
    </row>
    <row r="37" customFormat="false" ht="45.75" hidden="false" customHeight="true" outlineLevel="0" collapsed="false">
      <c r="A37" s="14" t="s">
        <v>263</v>
      </c>
      <c r="B37" s="14" t="s">
        <v>23</v>
      </c>
      <c r="C37" s="14" t="s">
        <v>264</v>
      </c>
      <c r="D37" s="14" t="s">
        <v>265</v>
      </c>
      <c r="E37" s="14" t="s">
        <v>266</v>
      </c>
    </row>
    <row r="38" customFormat="false" ht="23.25" hidden="false" customHeight="true" outlineLevel="0" collapsed="false">
      <c r="A38" s="14" t="s">
        <v>267</v>
      </c>
      <c r="B38" s="14" t="s">
        <v>23</v>
      </c>
      <c r="C38" s="14" t="s">
        <v>268</v>
      </c>
      <c r="D38" s="14" t="s">
        <v>269</v>
      </c>
      <c r="E38" s="14" t="s">
        <v>270</v>
      </c>
    </row>
    <row r="39" customFormat="false" ht="23.25" hidden="false" customHeight="true" outlineLevel="0" collapsed="false">
      <c r="A39" s="14" t="s">
        <v>271</v>
      </c>
      <c r="B39" s="14" t="s">
        <v>24</v>
      </c>
      <c r="C39" s="14" t="s">
        <v>272</v>
      </c>
      <c r="D39" s="14" t="s">
        <v>273</v>
      </c>
      <c r="E39" s="14" t="s">
        <v>274</v>
      </c>
    </row>
    <row r="40" customFormat="false" ht="15" hidden="false" customHeight="true" outlineLevel="0" collapsed="false">
      <c r="A40" s="14" t="s">
        <v>275</v>
      </c>
      <c r="B40" s="14" t="s">
        <v>24</v>
      </c>
      <c r="C40" s="14" t="s">
        <v>276</v>
      </c>
      <c r="D40" s="14" t="s">
        <v>277</v>
      </c>
      <c r="E40" s="14" t="s">
        <v>278</v>
      </c>
    </row>
    <row r="41" customFormat="false" ht="23.25" hidden="false" customHeight="true" outlineLevel="0" collapsed="false">
      <c r="A41" s="14" t="s">
        <v>279</v>
      </c>
      <c r="B41" s="14" t="s">
        <v>24</v>
      </c>
      <c r="C41" s="14" t="s">
        <v>280</v>
      </c>
      <c r="D41" s="14" t="s">
        <v>281</v>
      </c>
      <c r="E41" s="14" t="s">
        <v>282</v>
      </c>
    </row>
    <row r="42" customFormat="false" ht="68.25" hidden="false" customHeight="true" outlineLevel="0" collapsed="false">
      <c r="A42" s="14" t="s">
        <v>283</v>
      </c>
      <c r="B42" s="14" t="s">
        <v>24</v>
      </c>
      <c r="C42" s="14" t="s">
        <v>284</v>
      </c>
      <c r="D42" s="14" t="s">
        <v>285</v>
      </c>
      <c r="E42" s="14" t="s">
        <v>286</v>
      </c>
    </row>
    <row r="43" customFormat="false" ht="57" hidden="false" customHeight="true" outlineLevel="0" collapsed="false">
      <c r="A43" s="14" t="s">
        <v>287</v>
      </c>
      <c r="B43" s="14" t="s">
        <v>24</v>
      </c>
      <c r="C43" s="14" t="s">
        <v>288</v>
      </c>
      <c r="D43" s="14" t="s">
        <v>289</v>
      </c>
      <c r="E43" s="14" t="s">
        <v>290</v>
      </c>
    </row>
    <row r="44" customFormat="false" ht="34.5" hidden="false" customHeight="true" outlineLevel="0" collapsed="false">
      <c r="A44" s="14" t="s">
        <v>291</v>
      </c>
      <c r="B44" s="14" t="s">
        <v>292</v>
      </c>
      <c r="C44" s="14" t="s">
        <v>293</v>
      </c>
      <c r="D44" s="14" t="s">
        <v>294</v>
      </c>
      <c r="E44" s="14" t="s">
        <v>295</v>
      </c>
    </row>
    <row r="45" customFormat="false" ht="23.25" hidden="false" customHeight="true" outlineLevel="0" collapsed="false">
      <c r="A45" s="14" t="s">
        <v>296</v>
      </c>
      <c r="B45" s="14" t="s">
        <v>292</v>
      </c>
      <c r="C45" s="14" t="s">
        <v>297</v>
      </c>
      <c r="D45" s="14" t="s">
        <v>298</v>
      </c>
      <c r="E45" s="14" t="s">
        <v>299</v>
      </c>
    </row>
    <row r="46" customFormat="false" ht="23.25" hidden="false" customHeight="true" outlineLevel="0" collapsed="false">
      <c r="A46" s="14" t="s">
        <v>300</v>
      </c>
      <c r="B46" s="14" t="s">
        <v>292</v>
      </c>
      <c r="C46" s="14" t="s">
        <v>301</v>
      </c>
      <c r="D46" s="14" t="s">
        <v>302</v>
      </c>
      <c r="E46" s="14" t="s">
        <v>303</v>
      </c>
    </row>
    <row r="47" customFormat="false" ht="23.25" hidden="false" customHeight="true" outlineLevel="0" collapsed="false">
      <c r="A47" s="14" t="s">
        <v>304</v>
      </c>
      <c r="B47" s="14" t="s">
        <v>292</v>
      </c>
      <c r="C47" s="14" t="s">
        <v>305</v>
      </c>
      <c r="D47" s="14" t="s">
        <v>306</v>
      </c>
      <c r="E47" s="14" t="s">
        <v>307</v>
      </c>
    </row>
    <row r="48" customFormat="false" ht="23.25" hidden="false" customHeight="true" outlineLevel="0" collapsed="false">
      <c r="A48" s="14" t="s">
        <v>308</v>
      </c>
      <c r="B48" s="14" t="s">
        <v>292</v>
      </c>
      <c r="C48" s="14" t="s">
        <v>309</v>
      </c>
      <c r="D48" s="14" t="s">
        <v>310</v>
      </c>
      <c r="E48" s="14" t="s">
        <v>311</v>
      </c>
    </row>
    <row r="49" customFormat="false" ht="15" hidden="false" customHeight="true" outlineLevel="0" collapsed="false">
      <c r="A49" s="14" t="s">
        <v>312</v>
      </c>
      <c r="B49" s="14" t="s">
        <v>292</v>
      </c>
      <c r="C49" s="14" t="s">
        <v>313</v>
      </c>
      <c r="D49" s="14" t="s">
        <v>314</v>
      </c>
      <c r="E49" s="14" t="s">
        <v>315</v>
      </c>
    </row>
    <row r="50" customFormat="false" ht="23.85" hidden="false" customHeight="false" outlineLevel="0" collapsed="false">
      <c r="A50" s="14" t="s">
        <v>316</v>
      </c>
      <c r="B50" s="14" t="s">
        <v>292</v>
      </c>
      <c r="C50" s="14" t="s">
        <v>317</v>
      </c>
      <c r="D50" s="14" t="s">
        <v>318</v>
      </c>
      <c r="E50" s="14" t="s">
        <v>319</v>
      </c>
    </row>
    <row r="51" customFormat="false" ht="23.85" hidden="false" customHeight="false" outlineLevel="0" collapsed="false">
      <c r="A51" s="14" t="s">
        <v>320</v>
      </c>
      <c r="B51" s="14" t="s">
        <v>321</v>
      </c>
      <c r="C51" s="14" t="s">
        <v>322</v>
      </c>
      <c r="D51" s="14" t="s">
        <v>323</v>
      </c>
      <c r="E51" s="14" t="s">
        <v>324</v>
      </c>
    </row>
    <row r="52" customFormat="false" ht="15" hidden="false" customHeight="false" outlineLevel="0" collapsed="false">
      <c r="A52" s="14" t="s">
        <v>325</v>
      </c>
      <c r="B52" s="14" t="s">
        <v>321</v>
      </c>
      <c r="C52" s="14" t="s">
        <v>326</v>
      </c>
      <c r="D52" s="14" t="s">
        <v>327</v>
      </c>
      <c r="E52" s="14" t="s">
        <v>328</v>
      </c>
    </row>
  </sheetData>
  <autoFilter ref="A1:E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2026-08-25T13:28:38Z</dcterms:created>
  <dc:creator>openpyxl</dc:creator>
  <dc:description/>
  <dc:language>en-US</dc:language>
  <cp:lastModifiedBy/>
  <dcterms:modified xsi:type="dcterms:W3CDTF">2026-08-25T13:40:02Z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