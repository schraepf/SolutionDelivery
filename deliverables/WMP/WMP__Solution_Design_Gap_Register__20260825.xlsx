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ap Register" sheetId="2" state="visible" r:id="rId4"/>
    <sheet name="Resolved Decisions" sheetId="3" state="visible" r:id="rId5"/>
  </sheets>
  <definedNames>
    <definedName function="false" hidden="true" localSheetId="1" name="_xlnm._FilterDatabase" vbProcedure="false">'Gap Register'!$A$1:$K$28</definedName>
    <definedName function="false" hidden="true" localSheetId="2" name="_xlnm._FilterDatabase" vbProcedure="false">'Resolved Decisions'!$A$1:$E$38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<sst xmlns="http://schemas.openxmlformats.org/spreadsheetml/2006/main" count="516" uniqueCount="354">
  <si>
    <t xml:space="preserve">WMP Solution Design — Inputs &amp; Decisions Gap Register</t>
  </si>
  <si>
    <t xml:space="preserve">Rev 5 — 8/25/2026: recorded answers reviewed and promoted to Resolved; execution details carried in each decision's follow-through. Open questions only below.</t>
  </si>
  <si>
    <t xml:space="preserve">Wisconsin Metal Parts — Microsoft GCC High Migration (CMMC 2.0 Level 2)  |  Prepared by Essendis</t>
  </si>
  <si>
    <t xml:space="preserve">Purpose</t>
  </si>
  <si>
    <t xml:space="preserve">Only questions WMP (or a partner) still needs to answer remain in the register. Every decided item lives on the Resolved Decisions sheet with the follow-through it drives — the design-doc edit or configuration action Essendis executes. Rows whose recorded response still says TBD/unconfirmed in WMP's own words stay open.</t>
  </si>
  <si>
    <t xml:space="preserve">How to read the register</t>
  </si>
  <si>
    <t xml:space="preserve">Type</t>
  </si>
  <si>
    <t xml:space="preserve">Undocumented decision = decided but written nowhere · Missing decision = not yet made · Missing design = committed but not designed · Missing input = a fact only WMP/a partner can supply · Open item in doc = flagged in the design</t>
  </si>
  <si>
    <t xml:space="preserve">Priority</t>
  </si>
  <si>
    <t xml:space="preserve">High = blocks configuration, migration, or evidence · Medium = needed before go-live · Low = quality/closure</t>
  </si>
  <si>
    <t xml:space="preserve">Owner</t>
  </si>
  <si>
    <t xml:space="preserve">Who must answer: WMP, Essendis, RPO (Bound Planet), CallTower — or a combination</t>
  </si>
  <si>
    <t xml:space="preserve">Counts</t>
  </si>
  <si>
    <t xml:space="preserve">Open by category</t>
  </si>
  <si>
    <t xml:space="preserve">Totals</t>
  </si>
  <si>
    <t xml:space="preserve">Program &amp; Scope</t>
  </si>
  <si>
    <t xml:space="preserve">Open — High</t>
  </si>
  <si>
    <t xml:space="preserve">Conditional Access</t>
  </si>
  <si>
    <t xml:space="preserve">Open — Medium</t>
  </si>
  <si>
    <t xml:space="preserve">Exchange Online &amp; Mail Flow</t>
  </si>
  <si>
    <t xml:space="preserve">Open — Low</t>
  </si>
  <si>
    <t xml:space="preserve">Collaboration Workloads</t>
  </si>
  <si>
    <t xml:space="preserve">Open total</t>
  </si>
  <si>
    <t xml:space="preserve">Endpoint &amp; Device Management</t>
  </si>
  <si>
    <t xml:space="preserve">Resolved</t>
  </si>
  <si>
    <t xml:space="preserve">Teams Voice</t>
  </si>
  <si>
    <t xml:space="preserve">Data Migration</t>
  </si>
  <si>
    <t xml:space="preserve">Device Migration</t>
  </si>
  <si>
    <t xml:space="preserve">Exchange Decommission</t>
  </si>
  <si>
    <t xml:space="preserve">Operations &amp; Support</t>
  </si>
  <si>
    <t xml:space="preserve">CUI Governance &amp; Compliance</t>
  </si>
  <si>
    <t xml:space="preserve">ID</t>
  </si>
  <si>
    <t xml:space="preserve">Category</t>
  </si>
  <si>
    <t xml:space="preserve">Gap / Missing Item</t>
  </si>
  <si>
    <t xml:space="preserve">Why It Matters</t>
  </si>
  <si>
    <t xml:space="preserve">Key Questions</t>
  </si>
  <si>
    <t xml:space="preserve">Proposed Direction / Known Answer</t>
  </si>
  <si>
    <t xml:space="preserve">Design Doc Section</t>
  </si>
  <si>
    <t xml:space="preserve">Status</t>
  </si>
  <si>
    <t xml:space="preserve">G-02</t>
  </si>
  <si>
    <t xml:space="preserve">GCC High tenant procurement is assumed complete. The design opens at "immediately upon tenant creation" with no coverage of GCC High eligibility validation, the licensing partner (AOS-G/CSP-G), or provisioning lead time.</t>
  </si>
  <si>
    <t xml:space="preserve">Missing input</t>
  </si>
  <si>
    <t xml:space="preserve">GCC High is a sponsored, eligibility-validated cloud; validation and provisioning routinely take several weeks and gate every other task in the WBS, against a stated 12-week implementation.</t>
  </si>
  <si>
    <t xml:space="preserve">Which AOS-G / GCC High authorised partner holds the agreement, and is the eligibility validation submitted, in progress, or not started?
What is the confirmed or quoted tenant provisioning date, and what does the 12-week schedule assume for it?
Who signs the DFARS/ITAR eligibility attestation and the GCC High terms on WMP's behalf?
Is the tenant already created (the design names WMPADMIN@wisconsinmetalparts.com and two break-glass accounts) or is that still forward-looking?</t>
  </si>
  <si>
    <t xml:space="preserve">Overview / Scope; new "Assumptions &amp; Dependencies"</t>
  </si>
  <si>
    <t xml:space="preserve">Essendis + WMP</t>
  </si>
  <si>
    <t xml:space="preserve">High</t>
  </si>
  <si>
    <t xml:space="preserve">Open</t>
  </si>
  <si>
    <t xml:space="preserve">G-03</t>
  </si>
  <si>
    <t xml:space="preserve">Azure infrastructure was removed from scope, but the document still depends on Azure in several places: break-glass alerting via "Log Analytics in Azure", CA policy 5 (Azure Management / Azure Portal), PIM covering "Azure resources" and Azure RBAC Owner/Contributor, and Deployment phase 1 "Define Azure RBAC model". The Scope section is a single sentence with no exclusions or assumptions.</t>
  </si>
  <si>
    <t xml:space="preserve">Undocumented decision</t>
  </si>
  <si>
    <t xml:space="preserve">A design that silently assumes an Azure subscription produces configuration tasks that cannot be executed and controls that cannot be evidenced; a scope section without exclusions invites change-order disputes later.</t>
  </si>
  <si>
    <t xml:space="preserve">Is there any Azure Government subscription at all in the WMP estate — today or planned — or is the environment strictly M365 GCC High?
If there is none: should CA policy 5, the Azure RBAC references in PIM, and Deployment phase 1's Azure RBAC task be removed or reworded to Entra-only?
Should the Scope section carry an explicit out-of-scope list (Azure IaaS/PaaS, on-prem network and boundary devices, ERP, physical security, SSP authorship) and a dependencies list?
Who owns any Azure-dependent control that survives — WMP, Essendis, or the RPO?</t>
  </si>
  <si>
    <t xml:space="preserve">Known: Azure infrastructure was removed from scope; this is an M365-only design. The residual Azure references are leftovers from the prior revision and need to be removed or replaced with M365-native equivalents.</t>
  </si>
  <si>
    <t xml:space="preserve">Scope; Baseline Security &gt; Emergency Accounts; CA policy 5; Deployment Approach 1</t>
  </si>
  <si>
    <t xml:space="preserve">Essendis</t>
  </si>
  <si>
    <t xml:space="preserve">Medium</t>
  </si>
  <si>
    <t xml:space="preserve">G-15</t>
  </si>
  <si>
    <t xml:space="preserve">Named locations are named but not defined: the document lists "WMP HQ" and "Tool Crib" — two entries for a company with three physical locations — and gives no IP ranges, no egress detail, and no VPN posture.</t>
  </si>
  <si>
    <t xml:space="preserve">Location-based CA policies cannot be built without public egress addresses, and a missing third site means users at that site fall into whatever the catch-all policy does.</t>
  </si>
  <si>
    <t xml:space="preserve">Provide the three site names and static egress IP ranges (v4/v6) per site (recorded as TBD).
Any VPN or SD-WAN that changes egress, and what posture applies to remote users?
Design-doc action (decided): remove the 'Tool Crib' entry — it belongs to another customer.</t>
  </si>
  <si>
    <t xml:space="preserve">WMP (8/24): Sites TBD. Tool crib reference should be removed as specific to another customer.</t>
  </si>
  <si>
    <t xml:space="preserve">Baseline Security &gt; Locations (Named locations)</t>
  </si>
  <si>
    <t xml:space="preserve">WMP</t>
  </si>
  <si>
    <t xml:space="preserve">G-18</t>
  </si>
  <si>
    <t xml:space="preserve">Application and device mail flow has no design. The decommission gate requires printers, scanners, and ERP relay to be redirected to Exchange Online, but no relay method is defined — and the document already flags that the SPF record and the outbound disclaimer wording are unfinished.</t>
  </si>
  <si>
    <t xml:space="preserve">Open item in doc</t>
  </si>
  <si>
    <t xml:space="preserve">This is a hard gate on WBS 9.1.5: on-premises Exchange cannot be removed until every relay client is redirected, and in GCC High the relay options (connector with certificate/IP, direct send, SMTP AUTH) each carry different prerequisites.</t>
  </si>
  <si>
    <t xml:space="preserve">Which devices and applications send mail today — MFPs/scanners, ERP/MRP, quoting and shipping systems, alarm and monitoring systems, payroll, marketing platforms?
Which relay method is chosen per client: authenticated SMTP submission, an inbound connector restricted by IP/certificate, or direct send — and do the devices support TLS 1.2 and modern auth?
Does any device only support basic authentication or unencrypted SMTP, and is device replacement or an on-premises relay host in scope?
What is the final SPF record once all senders are known, and are any third-party senders included?
What is the approved CUI disclaimer wording from WMP legal, and which domains sit on the "External" banner allow list?</t>
  </si>
  <si>
    <t xml:space="preserve">Exchange Online &gt; new "Application Mail Flow / SMTP Relay"; Email Authentication</t>
  </si>
  <si>
    <t xml:space="preserve">G-20</t>
  </si>
  <si>
    <t xml:space="preserve">Room and resource mailboxes are undefined. The migration section lists user mailboxes, shared mailboxes, distribution lists, and groups — but not rooms, while the decommission gate and WBS 5.2.5 both assume room resource accounts exist and are recreated rather than migrated.</t>
  </si>
  <si>
    <t xml:space="preserve">Room mailboxes recreated rather than migrated lose their booking history and delegates, and any Teams Room or conference device tied to them needs its own licence and GCC High validation.</t>
  </si>
  <si>
    <t xml:space="preserve">How many room and equipment mailboxes exist, and what are their names, capacities, and booking policies?
Are booking delegates, auto-accept behaviour, and calendar processing settings documented so they can be rebuilt?
Are there Microsoft Teams Rooms devices or third-party conference systems in any of the three sites, and are those models supported in GCC High?
Is existing room calendar history required post-migration, or is a clean rebuild acceptable to WMP?</t>
  </si>
  <si>
    <t xml:space="preserve">Known from WBS 5.2.5: room resource accounts are recreated in GCC High rather than migrated. The count is still recorded as TBD in WBS 1.1.2.</t>
  </si>
  <si>
    <t xml:space="preserve">Exchange Online; Migration Design &gt; Email</t>
  </si>
  <si>
    <t xml:space="preserve">G-21</t>
  </si>
  <si>
    <t xml:space="preserve">How WMP collaborates with the outside world after go-live is undefined. External sharing is disabled in SharePoint and OneDrive, Teams guest access is off, external access is limited to "specific external domains" that are never listed, and CA policy 6 targets "Contractors" — a population that appears nowhere else. Encrypted email to external parties is also undefined.</t>
  </si>
  <si>
    <t xml:space="preserve">Missing decision</t>
  </si>
  <si>
    <t xml:space="preserve">WMP is a subcontractor: it must exchange drawings, quotes, and CUI with primes and the DoD daily. Shipping a tenant with every external path closed and no approved alternative creates immediate shadow IT, and GCC High-to-commercial federation is materially restricted.</t>
  </si>
  <si>
    <t xml:space="preserve">Which external domains are on the Teams external access allow list — primes, suppliers, CallTower, Essendis, the RPO?
How are CUI files exchanged with primes today (email, prime's portal, SFTP, DoD SAFE), and which of those is the sanctioned path afterwards?
Is Microsoft Purview Message Encryption (WBS 2.4.3) deployed for outbound CUI email, and how do external recipients open it?
Does a contractor or guest population actually exist? If not, should CA policy 6 be removed; if yes, is Defender for Cloud Apps licensed and available in GCC High for session control?
Who approves an external sharing exception, and how is it recorded for the evidence package?</t>
  </si>
  <si>
    <t xml:space="preserve">SharePoint &gt; External Sharing; Teams &gt; External and Guest Access; CA policy 6</t>
  </si>
  <si>
    <t xml:space="preserve">G-22</t>
  </si>
  <si>
    <t xml:space="preserve">Site and team provisioning governance is missing, and the SharePoint section twice says "see the appendix for a list of sites that will be migrated" — there is no such appendix (the document contains only Appendix A, password matrix, and Appendix B, terms of use).</t>
  </si>
  <si>
    <t xml:space="preserve">WBS 5.4.1 needs a source-to-destination site map before migration can be configured, and unrestricted team/site creation is how CUI sprawls into ungoverned locations.</t>
  </si>
  <si>
    <t xml:space="preserve">What is the actual list of SharePoint sites and Teams to migrate, with owners and destination names?
Should the missing site inventory be added as a new appendix, or referenced as a separate migration workbook?
Who can create Teams and M365 Groups after go-live — all users or a restricted group?
Is there a group expiration/archival policy, and who handles ownerless groups?
What naming standard applies to sites and teams, and is a hub structure needed for the three sites?</t>
  </si>
  <si>
    <t xml:space="preserve">Known bounds from the WBS: up to 5 SharePoint sites (1.1.6, 5.4.3), 15–20 shared mailboxes (1.1.2), light Teams adoption (1.1.5). The named inventory is still outstanding.</t>
  </si>
  <si>
    <t xml:space="preserve">SharePoint &gt; Site Provisioning; new appendix</t>
  </si>
  <si>
    <t xml:space="preserve">G-25</t>
  </si>
  <si>
    <t xml:space="preserve">Windows provisioning is unresolved. WBS 4.1.2 configures a "Windows Autopilot enrollment profile" and WBS 7.1.5 registers Autopilot hardware hashes — but classic Windows Autopilot is not offered in GCC High; only Autopilot device preparation is. The design says nothing about how new or rebuilt devices are provisioned.</t>
  </si>
  <si>
    <t xml:space="preserve">Two WBS tasks are written against a capability the target cloud does not provide, and without a provisioning path every replacement machine gets built by hand — outside the baseline, outside the evidence.</t>
  </si>
  <si>
    <t xml:space="preserve">Confirm with Microsoft what Autopilot capability the GCC High tenant actually exposes today, and re-plan WBS 4.1.2 and 7.1.5 accordingly.
How are brand-new devices provisioned — Autopilot device preparation, a provisioning package, or manual Entra join plus Intune enrolment?
Who registers device hardware IDs, and is the OEM/reseller able to do it for a GCC High tenant?
What is the provisioning path for a device that must be rebuilt after go-live (failed disk, employee change)?
Is a standard image or a bare Windows 11 install plus Intune the agreed model?</t>
  </si>
  <si>
    <t xml:space="preserve">Correction to record in the design: classic Windows Autopilot is not available in GCC High — Autopilot device preparation is the available path. The existing fleet is converted in place with ForensIT (WBS 7.2), so Autopilot applies only to net-new and rebuilt devices.</t>
  </si>
  <si>
    <t xml:space="preserve">New section: Endpoint Configuration (Windows) &gt; Provisioning</t>
  </si>
  <si>
    <t xml:space="preserve">G-29</t>
  </si>
  <si>
    <t xml:space="preserve">Group Policy is never mentioned in the design, yet WBS 4.2 requires a full GPO export, a GPO-to-Intune equivalence mapping, and a documented list of settings that cannot be replicated — and WBS 7.3 retires GPO entirely.</t>
  </si>
  <si>
    <t xml:space="preserve">Every setting that silently disappears when GPO is unlinked (drive maps, printer deployment, proxy, security options, software installs) becomes an unplanned outage or an unevidenced control gap.</t>
  </si>
  <si>
    <t xml:space="preserve">Can WMP produce a full GPO export (HTML/XML) for all OUs applied to in-scope devices and users?
Which GPO settings have no Intune equivalent, and what is the decision for each — accept, replace, or POA&amp;M?
Which GPOs deliver drive mappings, printer connections, proxy settings, or scheduled tasks that users depend on daily?
Are there GPO-deployed certificates, Wi-Fi profiles, or software installations that must be re-delivered by Intune?
Who signs off that Intune is fully applied before GPOs are unlinked (WBS 7.3.1)?</t>
  </si>
  <si>
    <t xml:space="preserve">Known from WBS 4.2: the gap analysis, equivalence mapping, and exceptions list are already committed deliverables, with exceptions flagged for customer decision and POA&amp;M.</t>
  </si>
  <si>
    <t xml:space="preserve">New section: Endpoint Configuration (Windows) &gt; GPO Replacement</t>
  </si>
  <si>
    <t xml:space="preserve">G-30</t>
  </si>
  <si>
    <t xml:space="preserve">Certificate and network-access dependencies are undefined. The mobile sections promise configuration profiles delivering "Wi-Fi, email, and VPN settings where required" with no authentication method or certificate source, and nothing at all covers Windows 802.1X once devices leave the domain.</t>
  </si>
  <si>
    <t xml:space="preserve">If corporate Wi-Fi uses 802.1X with machine certificates issued by AD auto-enrolment, every Entra-joined device loses network access at the moment of migration — and issuing certificates from Intune requires a SCEP/PKCS connector and a PKI that is not in scope anywhere.</t>
  </si>
  <si>
    <t xml:space="preserve">How does corporate Wi-Fi authenticate today — PSK, 802.1X with certificates, or 802.1X with credentials — at each of the three sites?
Is there an on-premises PKI (AD Certificate Services), and will it stay to issue device certificates through an Intune SCEP or PKCS connector?
If certificate-based Wi-Fi cannot be delivered, is a move to PSK or a separate managed-device SSID acceptable?
Is there a VPN, which client, and does it need per-app or device-tunnel configuration and certificates?
Does the ERP or any line-of-business application require a client certificate today?</t>
  </si>
  <si>
    <t xml:space="preserve">New section: Endpoint Configuration &gt; Certificates and Network Access; MDM configuration profiles</t>
  </si>
  <si>
    <t xml:space="preserve">G-31</t>
  </si>
  <si>
    <t xml:space="preserve">Shared and kiosk workstations on the shop floor are not addressed. The design assumes one identity per user and a compliant personal device; a fabrication floor typically runs shared terminals for time clocks, drawings, work instructions, and machine-tool control.</t>
  </si>
  <si>
    <t xml:space="preserve">Shared credentials break individual accountability under CMMC AC.L2-3.1.1 and IA.L2-3.5.1/3.5.2, and shared machines interact badly with a "require compliant device" CA policy and with per-user OneDrive/Known Folder Move.</t>
  </si>
  <si>
    <t xml:space="preserve">Are there shared or kiosk workstations on the production floor, and how many at each site?
Do shop-floor users have individual accounts today, or are shared logins in use?
Do those terminals need M365 access at all — or only drawing/work-instruction viewing from an internal system?
If shared devices stay, what is the model: shared device mode, kiosk configuration, or fast user switching with individual credentials plus a hardware key or Hello?
Do any workstations run machine-tool or inspection software that pins them to an old Windows build?</t>
  </si>
  <si>
    <t xml:space="preserve">New section: Endpoint Configuration (Windows) &gt; Shared and Kiosk Devices</t>
  </si>
  <si>
    <t xml:space="preserve">G-32</t>
  </si>
  <si>
    <t xml:space="preserve">CA policy 3 asserts macOS as a managed device platform, but no macOS management, compliance policy, or enrolment path exists anywhere in the design or the WBS, and no Mac inventory has been taken.</t>
  </si>
  <si>
    <t xml:space="preserve">If any Mac exists, the compliant-device policy blocks it at go-live; if none exists, the policy is asserting a platform WMP does not manage — either way the assessor will ask.</t>
  </si>
  <si>
    <t xml:space="preserve">Are there any macOS devices in the estate (engineering, design, marketing) and how many?
Are there Linux workstations, iPads used as shop-floor terminals, or other non-Windows endpoints touching M365?
If Macs exist, are they enrolled in Intune with a compliance policy and FileVault, or excluded from M365 access?
Should macOS be removed from CA policy 3's platform list if no Macs are in scope?</t>
  </si>
  <si>
    <t xml:space="preserve">CA policy 3; MDM (Intune) scope statement</t>
  </si>
  <si>
    <t xml:space="preserve">G-33</t>
  </si>
  <si>
    <t xml:space="preserve">Mobile fleet inputs are outstanding: the design records device counts by platform as TBD, leaves the MAM-only access path as an explicitly open item, and does not define which applications beyond Outlook and Teams are deployed or what the loss/wipe process is.</t>
  </si>
  <si>
    <t xml:space="preserve">Rollout cannot be scheduled or licensed without counts, and "MAM-only if needed" left open means the enrolment restriction blocking personal devices may collide with a real business need at go-live.</t>
  </si>
  <si>
    <t xml:space="preserve">How many corporate iOS and Android devices exist, by platform and by site, and who owns the Apple Business Manager account (WBS 6.1.2)?
Is the MAM-only path used at all — and if so, for whom (executives, field staff, a prime's device) given the corporate-owned-only posture?
Which apps beyond Outlook and Teams are deployed — OneDrive, Edge, Authenticator, an ERP or shop-floor app?
What are the app protection settings: PIN complexity, save-as restrictions, backup, offline grace period, jailbreak/root response?
What is the lost/stolen process — who initiates a wipe, selective or full, and within what SLA — and how are devices refreshed and retired?</t>
  </si>
  <si>
    <t xml:space="preserve">MDM (Intune) &gt; Pilot Validation and Rollout; Compliance and Conditional Access</t>
  </si>
  <si>
    <t xml:space="preserve">G-35</t>
  </si>
  <si>
    <t xml:space="preserve">The numbering inventory the design commits to producing does not yet exist, and the surrounding commercial facts are undefined: current carrier and contract, who signs the porting Letter of Agency, and which of the ~150 users actually receive a DID. The in-use call flows that WBS 8.2.6 will rebuild are equally unconfirmed.</t>
  </si>
  <si>
    <t xml:space="preserve">Porting cannot start without a signed LOA and an accurate service-address-matched number list; a mismatch or an unterminated carrier contract is the classic cause of a failed cutover weekend.</t>
  </si>
  <si>
    <t xml:space="preserve">Can WMP provide a current carrier bill or CSR listing every DID, main number, fax line, and service number?
Who is the incumbent carrier, when does the contract end, and are there early-termination charges?
Who is authorised to sign the porting LOA, and does the billing name and service address match the carrier record exactly?
Which users get a DID versus Teams calling with no number — do shop-floor users need phones at all?
Which auto attendants, call queues, hunt groups, after-hours routing, and reception/overflow behaviours are in use today and must be rebuilt (each needs a resource account and service number)?</t>
  </si>
  <si>
    <t xml:space="preserve">Licensing plan implies phone service for the 55 BP-tier users (Teams Phone Standard) plus the 15 G5 users (included in G5); the 80 frontline users get no phone service.</t>
  </si>
  <si>
    <t xml:space="preserve">Teams Voice &gt; Numbering and Number Porting; Voice Features</t>
  </si>
  <si>
    <t xml:space="preserve">WMP + CallTower</t>
  </si>
  <si>
    <t xml:space="preserve">G-36</t>
  </si>
  <si>
    <t xml:space="preserve">Voice endpoints are not inventoried. The design covers users and calling features but never mentions physical or analog endpoints — at a fabrication shop that typically means overhead paging, fax lines, elevator and door phones, alarm and monitoring lines, and loud-environment handsets.</t>
  </si>
  <si>
    <t xml:space="preserve">Analog and paging endpoints have no native path in Teams Phone; discovering them after porting means either a failed cutover or an unplanned ATA/paging gateway purchase.</t>
  </si>
  <si>
    <t xml:space="preserve">Are there analog lines — fax, alarm, elevator, door/gate phone, fire panel, modem — and are those numbers in the porting list?
Is there overhead paging or an intercom on the production floor, and must Teams reach it (paging gateway or ATA)?
What handsets and headsets are in use, are they Teams-certified, and are common-area phones needed in the shop, break room, or lobby?
Are there conference room devices, and do they need Teams Rooms licences validated for GCC High?
Who buys replacement hardware, and is it in the project budget?</t>
  </si>
  <si>
    <t xml:space="preserve">Teams Voice &gt; new "Voice Endpoints" subsection</t>
  </si>
  <si>
    <t xml:space="preserve">G-37</t>
  </si>
  <si>
    <t xml:space="preserve">Emergency calling is defined at site level only. The design registers "a validated emergency address for each location" but does not define dispatchable-location granularity, network-to-location mapping, or the notification path — which for a multi-building fabrication site is where E911 usually fails.</t>
  </si>
  <si>
    <t xml:space="preserve">A dispatchable location that resolves only to a street address sends responders to the front office instead of the plant floor, and Kari's Law/RAY BAUM's Act expects notification and specific location detail.</t>
  </si>
  <si>
    <t xml:space="preserve">What dispatchable-location granularity is required — building, floor, bay, or zone — at each of the three sites?
Which subnets, wireless access points, and switch ports map to which location (needed to build the location information service)?
Who is notified when a 911 call is placed (front desk, plant manager, security), by what mechanism?
How are laptop and mobile users handled when off-site or working remotely?
Who validates each civic address with the carrier, and when is the per-site test call scheduled (WBS 8.3.5)?</t>
  </si>
  <si>
    <t xml:space="preserve">Teams Voice &gt; Emergency Calling (E911)</t>
  </si>
  <si>
    <t xml:space="preserve">G-39</t>
  </si>
  <si>
    <t xml:space="preserve">Source data volumes and mailbox inventory are unquantified. The design names workload types but no counts or sizes; the WBS carries approximations (~150 users, 15–20 shared mailboxes, up to 5 SharePoint sites, rooms TBD) and no data on archives, public folders, or PSTs.</t>
  </si>
  <si>
    <t xml:space="preserve">Volume drives migration duration, bandwidth, batch sizing, and cost; unlisted artifact classes like public folders and PSTs are the ones that surface on cutover weekend with no plan.</t>
  </si>
  <si>
    <t xml:space="preserve">What are the mailbox count and total/largest mailbox sizes, and how many users have online archives enabled?
Do on-premises public folders exist, and are they in scope — migrated to shared mailboxes/M365 groups, or abandoned?
Are there PST files on endpoints or file shares, and does the migration ingest them (they will otherwise be lost when devices are rebuilt)?
Is there a journaling mailbox, third-party archive (Mimecast/Barracuda), or legacy compliance archive to retain or migrate?
What is the total OneDrive and SharePoint volume, and how many mailbox delegations (Full Access, Send As, calendar delegates) must be reproduced?</t>
  </si>
  <si>
    <t xml:space="preserve">Known WBS bounds: ~150 user mailboxes (5.2.3), up to 20 shared mailboxes (5.2.4), up to 5 SharePoint sites (5.4.3), room counts TBD (1.1.2).</t>
  </si>
  <si>
    <t xml:space="preserve">Migration Design &gt; M365 Migration; new inventory appendix</t>
  </si>
  <si>
    <t xml:space="preserve">G-41</t>
  </si>
  <si>
    <t xml:space="preserve">Domain transition mechanics are missing. The design covers DNS record repointing but not the constraint that wisconsinmetalparts.com must be removed from the commercial tenant before it can be added to GCC High (WBS 5.5.5/5.5.6), nor the transition domains, registrar access, TTL plan, or rollback.</t>
  </si>
  <si>
    <t xml:space="preserve">A vanity domain cannot exist in two tenants at once; the removal/re-add sequence creates a hard, irreversible window on cutover weekend that must be planned to the minute.</t>
  </si>
  <si>
    <t xml:space="preserve">Confirm the tenant's initial domain — the design records 'wisconsinmetalparts.microsoftonline.us', an endpoint rather than a tenant domain (expected: wisconsinmetalparts.onmicrosoft.us); WMP marked it unconfirmed.
During the &lt;1 hr domain-release gap: does inbound mail queue/defer acceptably, or does a transition domain carry anything?
Who holds the AWS DNS administrative access for cutover weekend, and what change approval applies? (Decided: TTL to 30 min, 5 days out.)</t>
  </si>
  <si>
    <t xml:space="preserve">WMP (8/24): Known from WBS 5.5.5–5.5.6: the domain must be released from the commercial tenant before it can be added and verified in GCC High.Gap of &lt;1hr. Reduce TTL to 30min 5d out. Domain unconfirmed.</t>
  </si>
  <si>
    <t xml:space="preserve">Entra ID &gt; Custom Domain; Migration Design &gt; Mail Flow Cutover</t>
  </si>
  <si>
    <t xml:space="preserve">G-43</t>
  </si>
  <si>
    <t xml:space="preserve">There is no application integration inventory. The design's Constraints section mentions "third-party integrations referencing legacy URLs" but nothing enumerates the applications that authenticate to Entra ID, call Microsoft Graph, or integrate with mail and files — and many ISVs do not support GCC High endpoints at all.</t>
  </si>
  <si>
    <t xml:space="preserve">An application that cannot be re-registered against GCC High becomes a go-live blocker discovered by users; WBS 9.1.4 also gates decommission on proving no application still authenticates to on-premises Exchange.</t>
  </si>
  <si>
    <t xml:space="preserve">Which applications use Entra ID single sign-on today (ERP/MRP, quoting, HR, CAD/PDM, shipping, quality)?
Which of those vendors support GCC High endpoints, and which need reconfiguration or replacement?
Which applications read or write M365 data through Graph, EWS, or mailbox permissions?
Which service accounts exist for those integrations, how do they authenticate, and are they excluded from MFA/CA policies?</t>
  </si>
  <si>
    <t xml:space="preserve">New section: Assumptions &amp; Dependencies &gt; Application Integrations</t>
  </si>
  <si>
    <t xml:space="preserve">G-46</t>
  </si>
  <si>
    <t xml:space="preserve">Device inventory is missing. The design never states how many Windows endpoints exist; WBS 1.1.8 and 7.1.1 both assign the count to WMP and record it as TBD, and nothing defines what happens to devices that cannot meet the Entra join requirements.</t>
  </si>
  <si>
    <t xml:space="preserve">Wave planning, ForensIT licensing, on-site labour across three sites, and the hardware refresh budget all depend on a number nobody has produced.</t>
  </si>
  <si>
    <t xml:space="preserve">How many Windows endpoints exist by site and by type (desktop, laptop, shop-floor terminal, engineering workstation)?
Which devices fail the Windows 10 21H2+/Windows 11 requirement (WBS 7.1.4) or lack TPM 2.0, and are they replaced, rebuilt, or excluded?
Are there devices that cannot be touched — machine-tool controllers, inspection PCs, kiosks — and do they need M365 access?
What is the hardware refresh budget and lead time if replacements are required?</t>
  </si>
  <si>
    <t xml:space="preserve">Servers are out of scope for Defender/Intune per WMP (G-28).</t>
  </si>
  <si>
    <t xml:space="preserve">Migration Design &gt; Device Migration – ForensIT; new inventory appendix</t>
  </si>
  <si>
    <t xml:space="preserve">G-47</t>
  </si>
  <si>
    <t xml:space="preserve">The ForensIT profile conversion is described in six bullets with no execution detail: no per-device runbook, no handling of credential and encryption state, and no treatment of the application-level breakage that a domain-to-Entra identity change causes.</t>
  </si>
  <si>
    <t xml:space="preserve">BitLocker keys currently escrowed to on-premises AD do not follow the device to Entra; Windows Hello, cached credentials, saved application passwords, and mapped resources all reset at conversion. Any of these turns a 30-minute conversion into a rebuild.</t>
  </si>
  <si>
    <t xml:space="preserve">Where are BitLocker recovery keys today, and what is the re-escrow procedure to Entra ID (WBS 7.2.5 requires it as evidence) — suspend/resume or decrypt/re-encrypt?
Is the conversion attended per device or scripted, how long does each take, and is it done on-site at all three locations or remotely?
What happens to Windows Hello enrolment, cached credentials, saved browser and application credentials, and Outlook profiles after conversion?
Which line-of-business applications need re-licensing, re-authentication, or reinstall once the user SID changes (CAD/CAM, ERP client, engineering tools)?
What is the per-device rollback if the conversion fails, and what backup exists beyond "backup of local profiles"?
Is a ForensIT Corporate/Deployment licence purchased for the fleet size, and who runs the tool?</t>
  </si>
  <si>
    <t xml:space="preserve">Migration Design &gt; Device Migration – ForensIT User Profile Wizard</t>
  </si>
  <si>
    <t xml:space="preserve">G-48</t>
  </si>
  <si>
    <t xml:space="preserve">Access to on-premises resources from Entra-joined devices is unaddressed. Once devices leave the domain, Kerberos-based access to file shares, print servers, and the ERP client stops working the way it does today — and the design never mentions it.</t>
  </si>
  <si>
    <t xml:space="preserve">This is the most common post-migration outage in an Entra-join project: users lose mapped drives, printers, and application logins on the Monday after their device is converted, at three sites simultaneously.</t>
  </si>
  <si>
    <t xml:space="preserve">Which on-premises resources do users reach daily — file shares, print servers, ERP/MRP, scan-to-folder destinations, licence servers?
How is authentication preserved from an Entra-joined device — Entra Kerberos/cloud trust, an Entra hybrid-join exception for some devices, or credential prompts with saved credentials?
How are drive mappings redelivered once GPO is retired — Intune script, or eliminated by moving the content to SharePoint/OneDrive?
How are printers deployed — Universal Print (confirm GCC High availability), Intune-deployed direct IP printing, or a print server that survives?
Does the ERP client require domain membership or integrated Windows authentication?</t>
  </si>
  <si>
    <t xml:space="preserve">WMP (G-26): no legacy applications requiring Kerberos identified — file shares, print, and scan-to-folder delivery still to confirm.</t>
  </si>
  <si>
    <t xml:space="preserve">New section: Endpoint Configuration &gt; On-Premises Resource Access; Device Migration</t>
  </si>
  <si>
    <t xml:space="preserve">G-49</t>
  </si>
  <si>
    <t xml:space="preserve">The pre-decommission gate lists what must be true but not how it is proven. "No applications or services still authenticating" and "no SMTP relay dependencies" are assertions with no monitoring method, no observation period, and no evidence artifact; the monitored-hold duration is left as "until confirmed idle".</t>
  </si>
  <si>
    <t xml:space="preserve">Decommission is one-way past the point of hybrid removal; a relay client discovered afterwards means mail loss with only a server backup as the recovery route.</t>
  </si>
  <si>
    <t xml:space="preserve">How are residual connections detected — Exchange protocol/SMTP receive logs, connection filtering, firewall logs — and who reviews them?
How long is the monitored hold (7, 14, 30 days) and what defines "idle" quantitatively?
What evidence artifact closes each gate item, and does it go into the CMMC evidence package?
Who at WMP signs the written decommission authorisation, and is the signature form agreed?
Is the Exchange server left powered on but blocked at the firewall during the hold, or fully serviceable?</t>
  </si>
  <si>
    <t xml:space="preserve">Migration Design &gt; Pre-Decommission Validation Gate; Monitored Hold</t>
  </si>
  <si>
    <t xml:space="preserve">G-50</t>
  </si>
  <si>
    <t xml:space="preserve">The document states that after decommission, recipient management moves to "Entra ID Connect and PowerShell against Active Directory attributes" with no Exchange management server retained — but no runbook, tooling, or skills transfer is defined for that day-2 reality.</t>
  </si>
  <si>
    <t xml:space="preserve">Creating a mailbox, adding a proxy address, or building a distribution list from raw AD attributes is error-prone and unfamiliar; WMP will need to do it in week one after handoff and there is nothing written to follow.</t>
  </si>
  <si>
    <t xml:space="preserve">What is the documented procedure for creating a new mailbox-enabled user, adding an alias, and creating a distribution group with no Exchange tools?
Which attributes must be set on-premises (proxyAddresses, mailNickname, targetAddress) versus managed in the cloud?
Is a management shell, script set, or the Exchange management tools-only install retained as an alternative?
Who at WMP is trained and named for this, and is it in the as-configured document?
Would moving to cloud-mastered identity (retiring Entra Connect) remove this problem entirely, and is that on the roadmap?</t>
  </si>
  <si>
    <t xml:space="preserve">Migration Design &gt; Hybrid Configuration and Directory Services; As-Configured document</t>
  </si>
  <si>
    <t xml:space="preserve">G-51</t>
  </si>
  <si>
    <t xml:space="preserve">The post-hypercare support model is explicitly undefined — the document states support channels "will be clearly defined during the hypercare period" and leaves escalation paths and response times blank.</t>
  </si>
  <si>
    <t xml:space="preserve">At the end of the 40-hour post-cutover window (WBS 5.6) the tenant becomes someone's day job; without a named model, CMMC-relevant tasks like alert triage and access review simply stop happening.</t>
  </si>
  <si>
    <t xml:space="preserve">What are the hypercare duration, hours of coverage, and response targets, and how do they step down?
Where do users report problems (helpdesk email, phone, Teams), and who staffs tier 1 at shift start?
What is the escalation path to Essendis, to Microsoft (GCC High premier/unified?), and to CallTower for carrier faults?
Does Essendis retain administrative access after handoff, under what agreement, and with what US-person attestation?</t>
  </si>
  <si>
    <t xml:space="preserve">WMP operates the tenant after handoff (G-55). Remaining: hypercare step-down, escalation paths, and user-facing support channels.</t>
  </si>
  <si>
    <t xml:space="preserve">Migration Design &gt; Communications; new "Operations &amp; Support Model" section</t>
  </si>
  <si>
    <t xml:space="preserve">G-52</t>
  </si>
  <si>
    <t xml:space="preserve">There is no monitoring or alerting design. The only alert in the document is break-glass sign-in detection "via Log Analytics in Azure" — a service that is out of scope — and nothing routes Defender, Intune, identity, or service-health alerts to a human.</t>
  </si>
  <si>
    <t xml:space="preserve">CMMC AU.L2-3.3.1/3.3.5 and IR.L2-3.6.1 expect logs to be reviewed and incidents detected; alerts nobody receives are not a detective control, and the break-glass alert as designed cannot be built.</t>
  </si>
  <si>
    <t xml:space="preserve">Which M365-native mechanism replaces Log Analytics for break-glass sign-in alerting — an Entra risk/activity alert, a Purview audit alert policy, or a Defender custom detection?
Who receives Defender for Office, Defender for Endpoint, Intune compliance, and Entra risky-user alerts, and to what response SLA?
Is a SIEM in the picture at all? Sentinel requires an Azure Government subscription, which is out of scope — is a third-party SIEM or manual review the answer?
Who monitors Microsoft 365 service health and communicates outages to users?
What is the periodic log review cadence and who evidences that it happened?</t>
  </si>
  <si>
    <t xml:space="preserve">Constraint to design around: Azure is out of scope, so the documented Log Analytics approach for break-glass alerting is not available and needs an M365-native replacement.</t>
  </si>
  <si>
    <t xml:space="preserve">Baseline Security &gt; Emergency Accounts; new "Monitoring &amp; Alerting" section</t>
  </si>
  <si>
    <t xml:space="preserve">G-60</t>
  </si>
  <si>
    <t xml:space="preserve">Audit logging is mentioned once, for Teams ("ensure audit logging is on"). The unified audit log, its retention duration, mailbox audit configuration, and log export are not defined — while WBS 2.6 commits to all of them, including a 90-day minimum.</t>
  </si>
  <si>
    <t xml:space="preserve">CMMC AU.L2-3.3.1/3.3.2 requires audit records sufficient to trace user actions, and retention duration is a licensing decision (extended retention needs a Purview Audit Premium/G5-class entitlement) that has to be made before go-live.</t>
  </si>
  <si>
    <t xml:space="preserve">Is the unified audit log enabled tenant-wide at tenant initialisation, and is that verified as evidence?
What audit retention is required — the 90-day minimum in the WBS, one year, or three — and does the chosen SKU support it?
Is mailbox auditing enabled for owner, delegate, and admin actions, and with which audited action set?
How are audit logs exported or preserved beyond the tenant retention window, given no Azure/Sentinel in scope?
Who runs the periodic audit review, on what cadence, and how is the review itself evidenced?</t>
  </si>
  <si>
    <t xml:space="preserve">Known from WBS 2.6.2: audit retention is set to meet a CMMC 90-day minimum — confirm whether WMP or the RPO requires longer.</t>
  </si>
  <si>
    <t xml:space="preserve">New section: Baseline Security &gt; Audit Logging and Retention</t>
  </si>
  <si>
    <t xml:space="preserve">Essendis + RPO</t>
  </si>
  <si>
    <t xml:space="preserve">Item</t>
  </si>
  <si>
    <t xml:space="preserve">WMP Decision / Recorded Answer</t>
  </si>
  <si>
    <t xml:space="preserve">Follow-through</t>
  </si>
  <si>
    <t xml:space="preserve">G-01</t>
  </si>
  <si>
    <t xml:space="preserve">Endpoint security baselines are absent from the design</t>
  </si>
  <si>
    <t xml:space="preserve">Decision already taken (not yet in the document): Microsoft Security Compliance Toolkit baselines deployed via Intune. This must be written into the design, reconciled with WBS 4.3.1's "MDM Security Baseline" wording, and pinned to specific baseline versions.</t>
  </si>
  <si>
    <t xml:space="preserve">Decision: Microsoft Security Compliance Toolkit baselines deployed via Intune. Essendis selects the concrete baseline set and pinned versions at configuration, reconciles the WBS 4.3.1 'MDM Security Baseline' wording, and maintains the deviation record for CMMC evidence.</t>
  </si>
  <si>
    <t xml:space="preserve">G-04</t>
  </si>
  <si>
    <t xml:space="preserve">Migration schedule is undefined: cutover dates are listed as "TBD", the stated duration ("approximately 12 weeks</t>
  </si>
  <si>
    <t xml:space="preserve">WMP (8/24): early-mid november - suggest available weekends.</t>
  </si>
  <si>
    <t xml:space="preserve">Cutover targeted for early-to-mid November. Essendis proposes candidate weekends (avoiding Thanksgiving week), names the pilot batch in the migration plan, updates the stale 'first week of May' schedule text, and commits dates to CallTower and the communications plan.</t>
  </si>
  <si>
    <t xml:space="preserve">G-05</t>
  </si>
  <si>
    <t xml:space="preserve">End state of the source Microsoft 365 Commercial tenant is undefined — the design ends at cutover and never says what happens to the commercial tenant or the CUI left in it</t>
  </si>
  <si>
    <t xml:space="preserve">Entra connect should be disabled from old tenant, but then it will be left for customer to decom fuilly.</t>
  </si>
  <si>
    <t xml:space="preserve">Config action: disable Entra Connect against the commercial tenant at cutover; WMP decommissions the old tenant fully thereafter.</t>
  </si>
  <si>
    <t xml:space="preserve">G-06</t>
  </si>
  <si>
    <t xml:space="preserve">Licensing</t>
  </si>
  <si>
    <t xml:space="preserve">No licensing design exists</t>
  </si>
  <si>
    <t xml:space="preserve">WMP (8/24) licensing plan received:
M365 G5 FUSL GCCH x15 (ADD-99035-COMM)
M365 Business Premium x55 (AAD-59343-COMM-2)
BP Defender Purview Suite GCCH x55 (AAV-01856-COMM-2)
Teams Phone Standard GCCH x55 (RFT-00001-COMM)
M365 F3 GCCH x80 (AAA-99952-COMM)
M365 F5 Security + Compliance GCCH Add-on x80 (91Q-00003-COMM)
= 150 users: 15 G5 / 55 BP tier / 80 F3 + F5 S&amp;C.
VERIFIED (public sources, 8/24): M365 Business Premium is offered in GCC High (announced Nov 3, ~300-seat cap; Microsoft SKU AAU-59343 matches the quote's AAD-59343 line). The combined Defender + Purview Suite GCCH add-on (AAV-01856 line) adds Entra ID P2, Defender for Endpoint P2, Defender for Office 365 P2, Defender for Identity/Cloud Apps, E5 Information Protection (auto-labeling, unified DLP incl. Endpoint DLP), Insider Risk, eDiscovery Premium, extended audit. With G5 (15) and F5 Security+Compliance (80), Entra ID P2 covers all 150 users; risk-based CA policies 7-8 are licensed tenant-wide.</t>
  </si>
  <si>
    <t xml:space="preserve">Licensing plan adopted as quoted: 15x G5, 55x Business Premium + Defender/Purview Suite GCCH + Teams Phone Standard, 80x F3 + F5 Security &amp; Compliance (verified against public GCC High SKU documentation; Entra ID P2 tenant-wide). Third-party seats (AvePoint Fly, ForensIT, CallTower service) and the commercial-overlap wind-down are handled in procurement.</t>
  </si>
  <si>
    <t xml:space="preserve">G-07</t>
  </si>
  <si>
    <t xml:space="preserve">Entra ID P2 purchase vehicle</t>
  </si>
  <si>
    <t xml:space="preserve">Settled by the licensing plan: P2 arrives via M365 G5 (15 users) and the F5 Security + Compliance add-on (80 users); the 55-seat BP + Defender/Purview Suite tier's P2 entitlement is verified under G-06.</t>
  </si>
  <si>
    <t xml:space="preserve">No purchase decision remains: Entra ID P2 is confirmed licensed for all 150 users — G5 (15), BP + Defender/Purview Suite GCCH (55), F5 Security + Compliance add-on (80). Verified against public SKU documentation 8/24.</t>
  </si>
  <si>
    <t xml:space="preserve">G-08</t>
  </si>
  <si>
    <t xml:space="preserve">Identity &amp; Access</t>
  </si>
  <si>
    <t xml:space="preserve">No Entra ID Connect design</t>
  </si>
  <si>
    <t xml:space="preserve">WMP (8/24): repointing sync to gcch
Pure Entra ID join decided (G-09): sign-in is PHS alone; Seamless SSO drops out.</t>
  </si>
  <si>
    <t xml:space="preserve">Existing Entra Connect is re-pointed to GCC High; sign-in is PHS alone (pure Entra join, Seamless SSO dropped). Essendis engineers the re-point sequencing, object matching, sync scope, and break-fix plan in the migration plan.</t>
  </si>
  <si>
    <t xml:space="preserve">G-09</t>
  </si>
  <si>
    <t xml:space="preserve">Device join model (design/WBS contradiction)</t>
  </si>
  <si>
    <t xml:space="preserve">Pure Entra join.</t>
  </si>
  <si>
    <t xml:space="preserve">Design/config actions: end state is Entra ID join (cloud-only). Simplify CA policy 3's grant to require-compliant-device only; remove the Seamless SSO section (a domain-joined-only feature); both join states coexist only during migration waves. Supersedes WBS 1.3.2's hybrid-join note. Cascade: closes G-08's sign-in-method question (PHS alone).</t>
  </si>
  <si>
    <t xml:space="preserve">G-10</t>
  </si>
  <si>
    <t xml:space="preserve">No statement of what remains on-premises after Exchange decommission and GPO retirement</t>
  </si>
  <si>
    <t xml:space="preserve">legacy app authentication. AD retirement not in scope.</t>
  </si>
  <si>
    <t xml:space="preserve">Design note: on-premises AD remains solely for legacy application authentication; AD retirement out of scope.</t>
  </si>
  <si>
    <t xml:space="preserve">G-11</t>
  </si>
  <si>
    <t xml:space="preserve">Authentication method design is contradictory and incomplete: the document states "All users will use the Microsoft Authenticator app", while CA policies 2 and 4 call for phishing-resistant authentication strength for admins</t>
  </si>
  <si>
    <t xml:space="preserve">WMP (8/24): Admins should use passkey in authenticator or Yubikey
WMP (8/24): shop-floor MFA = Microsoft Authenticator, with YubiKey as fallback.</t>
  </si>
  <si>
    <t xml:space="preserve">MFA methods: admins use passkey in Authenticator or YubiKey; all other users Microsoft Authenticator with YubiKey fallback, including shop floor. Essendis plans pre-cutover registration (TAP or on-site sessions) in the communications plan, sizes the YubiKey purchase from the fallback-user list, and leaves SMS/voice methods disabled.</t>
  </si>
  <si>
    <t xml:space="preserve">G-12</t>
  </si>
  <si>
    <t xml:space="preserve">No account lifecycle (joiner/mover/leaver) design</t>
  </si>
  <si>
    <t xml:space="preserve">WMP (8/24): Licensing should be group based. Accounts created in AD and synced.</t>
  </si>
  <si>
    <t xml:space="preserve">Accounts are created in on-premises AD and synced; licensing is group-based. Essendis documents the licence groups and the joiner/leaver runbook in the admin procedures (WBS 5.6.5).</t>
  </si>
  <si>
    <t xml:space="preserve">G-13</t>
  </si>
  <si>
    <t xml:space="preserve">Administrative role model is stated in principle only — "built-in roles </t>
  </si>
  <si>
    <t xml:space="preserve">WMP (8/24): Exact user lists TBD. No standing global admin for admins, all will use PIM. Separate user and cadm- prefixed accounts. Mike and Jeremy from Essendis, and they're removed at handoff.</t>
  </si>
  <si>
    <t xml:space="preserve">Admin model: no standing Global Administrators — all elevation via PIM; separate cadm- prefixed admin accounts; Essendis access (Mike, Jeremy) removed at handoff. The role list is finalised at implementation; Essendis sets PIM activation defaults (time-bound, MFA on activation).</t>
  </si>
  <si>
    <t xml:space="preserve">G-14</t>
  </si>
  <si>
    <t xml:space="preserve">Nine CA policies are specified but the rollout method is not: no report-only staging, no pilot group, no exclusion model beyond break-glass, and no service-account handling</t>
  </si>
  <si>
    <t xml:space="preserve">WMP (8/24): deployed in report-only while verified, then activated. Break glass accounts group excluded along with migration accounts. Avepoint uses app registrations.</t>
  </si>
  <si>
    <t xml:space="preserve">CA policies deploy in report-only until verified, then activate. Exclusions: break-glass group and migration accounts; AvePoint authenticates via app registrations. Essendis defines the report-only exit check in the runbook and corrects Deployment phase 1's 'security defaults' wording.</t>
  </si>
  <si>
    <t xml:space="preserve">G-16</t>
  </si>
  <si>
    <t xml:space="preserve">The Locations section references a Conditional Access policy named "Geo Block (non-US)" and says to see the Conditional Access section — but no such policy exists in the nine defined policies</t>
  </si>
  <si>
    <t xml:space="preserve">geoblock outside of US and add a travelers exception group.</t>
  </si>
  <si>
    <t xml:space="preserve">Design/config action: add CA policy 10 'Geo Block (non-US)' with a Travelers exception group (fixes the dangling reference).</t>
  </si>
  <si>
    <t xml:space="preserve">G-17</t>
  </si>
  <si>
    <t xml:space="preserve">The Terms of Use / CUI warning in Appendix B is written but never wired to anything — no Conditional Access policy grants on Terms of Use acceptance, and the Entra ID section cross-references it to "Appendix A", which is the password matrix</t>
  </si>
  <si>
    <t xml:space="preserve">WMP (8/24): yes, and applies to everyone. Reaccept annually. WMP will review. SOC addresses TBD. Correct any bad references.</t>
  </si>
  <si>
    <t xml:space="preserve">Terms of Use delivered via Entra ID Terms of Use with a CA grant, applied to everyone, annual re-acceptance; WMP legal reviews the wording; bad cross-references corrected. SOC contact details are inserted into Appendix B when WMP establishes them.</t>
  </si>
  <si>
    <t xml:space="preserve">G-19</t>
  </si>
  <si>
    <t xml:space="preserve">Defender for Office 365 coverage is partial: the design defines Safe Attachments, anti-phishing, anti-malware, and anti-spam for email, but never mentions Safe Links (WBS 2.5.2) or Safe Attachments for SharePoint, OneDrive, and Teams (WBS 2.5.3)</t>
  </si>
  <si>
    <t xml:space="preserve">WMP (8/24): Yes. Yes, quarantined. Strict. Admin release only. TBD who receives notifications.</t>
  </si>
  <si>
    <t xml:space="preserve">Defender for Office 365: Strict preset policies; Safe Links everywhere and Safe Attachments for SPO/OneDrive/Teams (flagged files quarantined); quarantine release is admin-only. Notification recipients default to the admin team until WMP names a monitored mailbox.</t>
  </si>
  <si>
    <t xml:space="preserve">G-23</t>
  </si>
  <si>
    <t xml:space="preserve">OneDrive client configuration is thin and one setting is incompatible with the target state: the design restricts sync to "PCs joined to specific domains", which relies on an AD domain GUID — but WBS 7 removes those endpoints from the domain</t>
  </si>
  <si>
    <t xml:space="preserve">restrict by tenant ID. Silently before device migraton.Depends on license but It should be enough for users.Retention out of scope.</t>
  </si>
  <si>
    <t xml:space="preserve">Config action: OneDrive sync restricted by GCC High tenant ID; Known Folder Move enabled silently before device migration; quota per licence; leaver-retention handling out of scope.</t>
  </si>
  <si>
    <t xml:space="preserve">G-24</t>
  </si>
  <si>
    <t xml:space="preserve">There is no Windows endpoint configuration design</t>
  </si>
  <si>
    <t xml:space="preserve">WMP (8/24): No PIN, need FIPS algo, escrow keys to Entra before encrypting, encrypt used space, block USB media in separate policy w/ exception group, Simple Windows Update setup. Device health required else noncompliant. Everything scoped to all devices. Pilot ring members TBD.</t>
  </si>
  <si>
    <t xml:space="preserve">Windows endpoint decisions: BitLocker with FIPS-compliant algorithm, no PIN, keys escrowed to Entra before encryption, used-space-only encryption; USB media blocked in a separate policy with an exception group; simple Windows Update ring setup; device health attestation required for compliance; everything scoped to all devices. Remaining profile values derive from the SCT baselines (G-01); the pilot ring is named at implementation.</t>
  </si>
  <si>
    <t xml:space="preserve">G-26</t>
  </si>
  <si>
    <t xml:space="preserve">Local administrator rights and Windows LAPS are not addressed anywhere in the design or the WBS</t>
  </si>
  <si>
    <t xml:space="preserve">Users will not be local admin Device joiner should not be local admin. LAPS will be configured with WMPAdmin user to rotate password every 30d or after it's been used. Account management policy in place to keep only WMPAdmin account in Local Administrators. IT admins will be able to elevate using WMPAdmin. no legacy apps needing kerberos or admin rights have been identified.</t>
  </si>
  <si>
    <t xml:space="preserve">Config action: users are not local admins; joiner-admin suppressed; Windows LAPS rotates WMPAdmin (30-day and after use); account-management policy keeps only WMPAdmin in local Administrators; IT elevates via WMPAdmin.</t>
  </si>
  <si>
    <t xml:space="preserve">G-27</t>
  </si>
  <si>
    <t xml:space="preserve">Application control is committed to in WBS 4.3.5 (AppLocker/WDAC, CMMC CM.2.061) but has no design, no policy model, and no application inventory behind it</t>
  </si>
  <si>
    <t xml:space="preserve">WDAC in audit mode to allow customer to create tailored WDAC policy.</t>
  </si>
  <si>
    <t xml:space="preserve">Config action: deploy WDAC in audit mode; WMP tailors and enforces its own policy afterwards.</t>
  </si>
  <si>
    <t xml:space="preserve">G-28</t>
  </si>
  <si>
    <t xml:space="preserve">Microsoft Defender for Endpoint appears only in the WBS (2.5.5, "confirm licensing") and never in the design — no plan selection, no onboarding method, no alert routing, no coverage decision for servers</t>
  </si>
  <si>
    <t xml:space="preserve">Defender for Endpoint P2. Licenses to be attached. EDR in block mode, tamper protection enabled. Servers out of scope. WMP managing after handoff.</t>
  </si>
  <si>
    <t xml:space="preserve">Config action: Defender for Endpoint P2, EDR block mode, tamper protection on; servers out of scope; WMP manages after handoff. Licences arrive with the G-06 quote.</t>
  </si>
  <si>
    <t xml:space="preserve">G-34</t>
  </si>
  <si>
    <t xml:space="preserve">The telephony connectivity model is an open decision — Direct Routing and Operator Connect are both still on the table pending CallTower's GCC High confirmation</t>
  </si>
  <si>
    <t xml:space="preserve">WMP (8/24): Direct routing via CallTower. Cost not in scope for this doc.</t>
  </si>
  <si>
    <t xml:space="preserve">Teams Phone delivered via CallTower Direct Routing (cost out of design scope). Essendis obtains CallTower's GCC High Direct Routing specification and settles the SBC FQDN domain and certificate ownership during integration.</t>
  </si>
  <si>
    <t xml:space="preserve">G-38</t>
  </si>
  <si>
    <t xml:space="preserve">Source-side migration prerequisites are not captured: source tenant administrative access, the AvePoint Fly deployment model, tenant-to-tenant app consent, and confirmation that Fly supports a Commercial-to-GCC High cross-cloud move at all</t>
  </si>
  <si>
    <t xml:space="preserve">Yes it's supported. Global admin access available for whole migration. Avepoint SaaS in Azure East US. Forget app registration consent and throttling.</t>
  </si>
  <si>
    <t xml:space="preserve">No further action: Fly supports Commercial-to-GCC High; source Global Admin available for the whole window; AvePoint SaaS runs in Azure East US; app-consent/throttling tracking waived by WMP.</t>
  </si>
  <si>
    <t xml:space="preserve">G-40</t>
  </si>
  <si>
    <t xml:space="preserve">Coexistence during the migration window is not designed</t>
  </si>
  <si>
    <t xml:space="preserve">One cutover event.</t>
  </si>
  <si>
    <t xml:space="preserve">Design input: single cutover event — coexistence window minimal, no cross-tenant free/busy or Teams federation needed.</t>
  </si>
  <si>
    <t xml:space="preserve">G-42</t>
  </si>
  <si>
    <t xml:space="preserve">Migration scope beyond mail, files, and Teams content is undefined, and the design over-promises in one place: it lists "Chat History" as included while WBS 5.3.3 qualifies it as "where supported by tooling"</t>
  </si>
  <si>
    <t xml:space="preserve">Yes. Planner/Forms/Viva/Power Automate/PowerApps/PowerBI not in migration scope.</t>
  </si>
  <si>
    <t xml:space="preserve">Design input: chat/channel migration confirmed supported; Planner, Forms, Viva, Power Automate, Power Apps, Power BI are out of migration scope.</t>
  </si>
  <si>
    <t xml:space="preserve">G-44</t>
  </si>
  <si>
    <t xml:space="preserve">On-premises file shares are not mentioned anywhere</t>
  </si>
  <si>
    <t xml:space="preserve">fileserver migration out of scope</t>
  </si>
  <si>
    <t xml:space="preserve">Scope decision: on-premises file-server migration out of scope.</t>
  </si>
  <si>
    <t xml:space="preserve">G-45</t>
  </si>
  <si>
    <t xml:space="preserve">The communications plan lists five message types but no detail, and end-user training is not addressed at all — while WBS 2.8.5 explicitly flags CUI labelling training as out of Essendis scope and hands it to WMP</t>
  </si>
  <si>
    <t xml:space="preserve">WMP (8/24): Essendis writes, WMP approves and sends on TBD schedule. No training in scope. Communication details to be determined.</t>
  </si>
  <si>
    <t xml:space="preserve">Communications: Essendis writes, WMP approves and sends; no end-user training in scope. Essendis drafts the communications package including day-of-cutover instructions; dates are set once the November weekend is fixed (G-04).</t>
  </si>
  <si>
    <t xml:space="preserve">G-53</t>
  </si>
  <si>
    <t xml:space="preserve">Backup and recoverability for M365 data is not addressed</t>
  </si>
  <si>
    <t xml:space="preserve">Backups out of scope.</t>
  </si>
  <si>
    <t xml:space="preserve">Scope decision: Microsoft 365 backup out of scope — native retention, versioning, and recycle bins accepted.</t>
  </si>
  <si>
    <t xml:space="preserve">G-54</t>
  </si>
  <si>
    <t xml:space="preserve">Recurring operational tasks are never listed</t>
  </si>
  <si>
    <t xml:space="preserve">WMP owns all.</t>
  </si>
  <si>
    <t xml:space="preserve">Ownership decision: WMP owns all recurring renewals and reviews after handoff (include the renewal list in handoff documentation per G-63).</t>
  </si>
  <si>
    <t xml:space="preserve">G-55</t>
  </si>
  <si>
    <t xml:space="preserve">There is no change control process for the tenant after go-live</t>
  </si>
  <si>
    <t xml:space="preserve">WMP owns after handoff.</t>
  </si>
  <si>
    <t xml:space="preserve">Ownership decision: WMP owns tenant change control after handoff.</t>
  </si>
  <si>
    <t xml:space="preserve">G-56</t>
  </si>
  <si>
    <t xml:space="preserve">The CMMC assessment boundary is never defined</t>
  </si>
  <si>
    <t xml:space="preserve">All out of scope.</t>
  </si>
  <si>
    <t xml:space="preserve">Scope decision: CMMC boundary definition is out of this engagement's scope (RPO domain).</t>
  </si>
  <si>
    <t xml:space="preserve">G-57</t>
  </si>
  <si>
    <t xml:space="preserve">There is no traceability between the design's settings and the CMMC/NIST SP 800-171 practices, in either direction: the RPO control mapping that WBS 2.1.1 makes a hard gate has not been received, and the evidence package and Solution Configuration Document that WBS 2.9 delivers have no defined format or maintainer</t>
  </si>
  <si>
    <t xml:space="preserve">Essendis configuring all applicable M365 settings for control alignment using their approach and judgement - compliance is on the RPO and out of scope.</t>
  </si>
  <si>
    <t xml:space="preserve">Scope decision: Essendis configures all applicable M365 settings using its own approach and judgment; compliance mapping and evidence are the RPO's responsibility.</t>
  </si>
  <si>
    <t xml:space="preserve">G-58</t>
  </si>
  <si>
    <t xml:space="preserve">CUI information protection is undefined</t>
  </si>
  <si>
    <t xml:space="preserve">WMP (8/24): CUI label is the only part of taxonomy in scope. Manual labeling. DLP should block. Endpoint DLP in scope. Communication compliance out of scope.</t>
  </si>
  <si>
    <t xml:space="preserve">CUI protection: a single CUI sensitivity label, manually applied; DLP blocks on the CUI label across Exchange, Teams, SharePoint and OneDrive; Endpoint DLP in scope; Communication Compliance out of scope. Essendis proposes the label's marking/encryption behaviour and the endpoint restrictions (USB, print, clipboard) for WMP sign-off in the configuration document.</t>
  </si>
  <si>
    <t xml:space="preserve">G-59</t>
  </si>
  <si>
    <t xml:space="preserve">Retention and disposition are defined only in fragments — OneDrive 7 years for leavers, Teams recordings 180 days, spam quarantine 14 days, SharePoint 500 versions</t>
  </si>
  <si>
    <t xml:space="preserve">retention is out of scope.</t>
  </si>
  <si>
    <t xml:space="preserve">Scope decision: organisation-wide retention design out of scope; the existing per-workload fragments stand.</t>
  </si>
  <si>
    <t xml:space="preserve">G-61</t>
  </si>
  <si>
    <t xml:space="preserve">DFARS 252.204-7012 operational obligations are not designed</t>
  </si>
  <si>
    <t xml:space="preserve">Out of scope</t>
  </si>
  <si>
    <t xml:space="preserve">Scope decision: DFARS 7012 incident-response operations out of scope (SOC contact placeholders remain tracked in G-17).</t>
  </si>
  <si>
    <t xml:space="preserve">G-62</t>
  </si>
  <si>
    <t xml:space="preserve">Only CallTower has a shared responsibility matrix</t>
  </si>
  <si>
    <t xml:space="preserve">Out of scope - not handling compliance and Avepoint not handling CUI.</t>
  </si>
  <si>
    <t xml:space="preserve">Scope decision: vendor SRM / flow-down collection out of scope; WMP position recorded: AvePoint does not handle CUI.</t>
  </si>
  <si>
    <t xml:space="preserve">G-63</t>
  </si>
  <si>
    <t xml:space="preserve">Documentation &amp; Handoff</t>
  </si>
  <si>
    <t xml:space="preserve">The documentation deliverables and their acceptance are not stated in the design</t>
  </si>
  <si>
    <t xml:space="preserve">Design Document, Configuration Document. WMP owns everything after handoff.</t>
  </si>
  <si>
    <t xml:space="preserve">Decision: documentation set is the Solution Design Document plus the Configuration Document; WMP owns all documentation after handoff.</t>
  </si>
  <si>
    <t xml:space="preserve">G-64</t>
  </si>
  <si>
    <t xml:space="preserve">The design contains no diagrams</t>
  </si>
  <si>
    <t xml:space="preserve">No diagrams are in scope.</t>
  </si>
  <si>
    <t xml:space="preserve">Scope decision: no diagrams in scope.</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</si>
</sst>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sz val="9"/>
      <color rgb="FF595959"/>
      <name val="Arial"/>
      <family val="0"/>
      <charset val="1"/>
    </font>
    <font>
      <b val="true"/>
      <sz val="11"/>
      <color rgb="FF1F4E79"/>
      <name val="Arial"/>
      <family val="0"/>
      <charset val="1"/>
    </font>
    <font>
      <sz val="10"/>
      <color rgb="FF000000"/>
      <name val="Arial"/>
      <family val="0"/>
      <charset val="1"/>
    </font>
    <font>
      <b val="true"/>
      <sz val="10"/>
      <color rgb="FF000000"/>
      <name val="Arial"/>
      <family val="0"/>
      <charset val="1"/>
    </font>
    <font>
      <sz val="9"/>
      <color rgb="FF000000"/>
      <name val="Arial"/>
      <family val="0"/>
      <charset val="1"/>
    </font>
    <font>
      <sz val="9"/>
      <name val="Arial"/>
      <family val="0"/>
      <charset val="1"/>
    </font>
    <font>
      <b val="true"/>
      <sz val="9"/>
      <color rgb="FF000000"/>
      <name val="Arial"/>
      <family val="0"/>
      <charset val="1"/>
    </font>
    <font>
      <b val="true"/>
      <sz val="9"/>
      <name val="Arial"/>
      <family val="0"/>
      <charset val="1"/>
    </font>
    <font>
      <b val="true"/>
      <sz val="10"/>
      <color rgb="FFFFFFFF"/>
      <name val="Arial"/>
      <family val="0"/>
      <charset val="1"/>
    </font>
    <font>
      <sz val="10"/>
      <name val="Arial"/>
      <family val="0"/>
      <charset val="1"/>
    </font>
  </fonts>
  <fills count="5">
    <fill>
      <patternFill patternType="none"/>
    </fill>
    <fill>
      <patternFill patternType="gray125"/>
    </fill>
    <fill>
      <patternFill patternType="solid">
        <fgColor rgb="FF1F4E79"/>
        <bgColor rgb="FF003366"/>
      </patternFill>
    </fill>
    <fill>
      <patternFill patternType="solid">
        <fgColor rgb="FFFCE4E4"/>
        <bgColor rgb="FFFFF3DC"/>
      </patternFill>
    </fill>
    <fill>
      <patternFill patternType="solid">
        <fgColor rgb="FFFFF3DC"/>
        <bgColor rgb="FFFCE4E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3"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FFF3D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D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14"/>
    <col collapsed="false" customWidth="true" hidden="false" outlineLevel="0" max="4" min="4" style="0" width="4"/>
    <col collapsed="false" customWidth="true" hidden="false" outlineLevel="0" max="5" min="5" style="0" width="26"/>
    <col collapsed="false" customWidth="true" hidden="false" outlineLevel="0" max="6" min="6" style="0" width="14"/>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row>
    <row r="7" customFormat="false" ht="57.75" hidden="false" customHeight="true" outlineLevel="0" collapsed="false">
      <c r="B7" s="5" t="s">
        <v>4</v>
      </c>
      <c r="C7" s="5"/>
      <c r="D7" s="5"/>
      <c r="E7" s="5"/>
      <c r="F7" s="5"/>
    </row>
    <row r="9" customFormat="false" ht="15" hidden="false" customHeight="false" outlineLevel="0" collapsed="false">
      <c r="B9" s="4" t="s">
        <v>5</v>
      </c>
    </row>
    <row r="10" customFormat="false" ht="15" hidden="false" customHeight="false" outlineLevel="0" collapsed="false">
      <c r="B10" s="6" t="s">
        <v>6</v>
      </c>
    </row>
    <row r="11" customFormat="false" ht="30" hidden="false" customHeight="true" outlineLevel="0" collapsed="false">
      <c r="B11" s="7" t="s">
        <v>7</v>
      </c>
      <c r="C11" s="7"/>
      <c r="D11" s="7"/>
      <c r="E11" s="7"/>
      <c r="F11" s="7"/>
    </row>
    <row r="13" customFormat="false" ht="15" hidden="false" customHeight="false" outlineLevel="0" collapsed="false">
      <c r="B13" s="6" t="s">
        <v>8</v>
      </c>
    </row>
    <row r="14" customFormat="false" ht="30" hidden="false" customHeight="true" outlineLevel="0" collapsed="false">
      <c r="B14" s="7" t="s">
        <v>9</v>
      </c>
      <c r="C14" s="7"/>
      <c r="D14" s="7"/>
      <c r="E14" s="7"/>
      <c r="F14" s="7"/>
    </row>
    <row r="16" customFormat="false" ht="15" hidden="false" customHeight="false" outlineLevel="0" collapsed="false">
      <c r="B16" s="6" t="s">
        <v>10</v>
      </c>
    </row>
    <row r="17" customFormat="false" ht="30" hidden="false" customHeight="true" outlineLevel="0" collapsed="false">
      <c r="B17" s="7" t="s">
        <v>11</v>
      </c>
      <c r="C17" s="7"/>
      <c r="D17" s="7"/>
      <c r="E17" s="7"/>
      <c r="F17" s="7"/>
    </row>
    <row r="19" customFormat="false" ht="15" hidden="false" customHeight="false" outlineLevel="0" collapsed="false">
      <c r="B19" s="4" t="s">
        <v>12</v>
      </c>
    </row>
    <row r="20" customFormat="false" ht="15" hidden="false" customHeight="false" outlineLevel="0" collapsed="false">
      <c r="B20" s="6" t="s">
        <v>13</v>
      </c>
      <c r="E20" s="6" t="s">
        <v>14</v>
      </c>
    </row>
    <row r="21" customFormat="false" ht="15" hidden="false" customHeight="false" outlineLevel="0" collapsed="false">
      <c r="B21" s="8" t="s">
        <v>15</v>
      </c>
      <c r="C21" s="9" t="n">
        <f aca="false">COUNTIF('Gap Register'!B:B,B21)</f>
        <v>2</v>
      </c>
      <c r="E21" s="8" t="s">
        <v>16</v>
      </c>
      <c r="F21" s="9" t="n">
        <f aca="false">COUNTIF('Gap Register'!J:J,"High")</f>
        <v>22</v>
      </c>
    </row>
    <row r="22" customFormat="false" ht="15" hidden="false" customHeight="false" outlineLevel="0" collapsed="false">
      <c r="B22" s="8" t="s">
        <v>17</v>
      </c>
      <c r="C22" s="9" t="n">
        <f aca="false">COUNTIF('Gap Register'!B:B,B22)</f>
        <v>1</v>
      </c>
      <c r="E22" s="8" t="s">
        <v>18</v>
      </c>
      <c r="F22" s="9" t="n">
        <f aca="false">COUNTIF('Gap Register'!J:J,"Medium")</f>
        <v>5</v>
      </c>
    </row>
    <row r="23" customFormat="false" ht="15" hidden="false" customHeight="false" outlineLevel="0" collapsed="false">
      <c r="B23" s="8" t="s">
        <v>19</v>
      </c>
      <c r="C23" s="9" t="n">
        <f aca="false">COUNTIF('Gap Register'!B:B,B23)</f>
        <v>2</v>
      </c>
      <c r="E23" s="8" t="s">
        <v>20</v>
      </c>
      <c r="F23" s="9" t="n">
        <f aca="false">COUNTIF('Gap Register'!J:J,"Low")</f>
        <v>0</v>
      </c>
    </row>
    <row r="24" customFormat="false" ht="15" hidden="false" customHeight="false" outlineLevel="0" collapsed="false">
      <c r="B24" s="8" t="s">
        <v>21</v>
      </c>
      <c r="C24" s="9" t="n">
        <f aca="false">COUNTIF('Gap Register'!B:B,B24)</f>
        <v>2</v>
      </c>
      <c r="E24" s="10" t="s">
        <v>22</v>
      </c>
      <c r="F24" s="11" t="n">
        <f aca="false">COUNTA('Gap Register'!A:A)-1</f>
        <v>27</v>
      </c>
    </row>
    <row r="25" customFormat="false" ht="15" hidden="false" customHeight="false" outlineLevel="0" collapsed="false">
      <c r="B25" s="8" t="s">
        <v>23</v>
      </c>
      <c r="C25" s="9" t="n">
        <f aca="false">COUNTIF('Gap Register'!B:B,B25)</f>
        <v>6</v>
      </c>
      <c r="E25" s="10" t="s">
        <v>24</v>
      </c>
      <c r="F25" s="11" t="n">
        <f aca="false">COUNTA('Resolved Decisions'!A:A)-1</f>
        <v>37</v>
      </c>
    </row>
    <row r="26" customFormat="false" ht="15" hidden="false" customHeight="false" outlineLevel="0" collapsed="false">
      <c r="B26" s="8" t="s">
        <v>25</v>
      </c>
      <c r="C26" s="9" t="n">
        <f aca="false">COUNTIF('Gap Register'!B:B,B26)</f>
        <v>3</v>
      </c>
    </row>
    <row r="27" customFormat="false" ht="15" hidden="false" customHeight="false" outlineLevel="0" collapsed="false">
      <c r="B27" s="8" t="s">
        <v>26</v>
      </c>
      <c r="C27" s="9" t="n">
        <f aca="false">COUNTIF('Gap Register'!B:B,B27)</f>
        <v>3</v>
      </c>
    </row>
    <row r="28" customFormat="false" ht="15" hidden="false" customHeight="false" outlineLevel="0" collapsed="false">
      <c r="B28" s="8" t="s">
        <v>27</v>
      </c>
      <c r="C28" s="9" t="n">
        <f aca="false">COUNTIF('Gap Register'!B:B,B28)</f>
        <v>3</v>
      </c>
    </row>
    <row r="29" customFormat="false" ht="15" hidden="false" customHeight="false" outlineLevel="0" collapsed="false">
      <c r="B29" s="8" t="s">
        <v>28</v>
      </c>
      <c r="C29" s="9" t="n">
        <f aca="false">COUNTIF('Gap Register'!B:B,B29)</f>
        <v>2</v>
      </c>
    </row>
    <row r="30" customFormat="false" ht="15" hidden="false" customHeight="false" outlineLevel="0" collapsed="false">
      <c r="B30" s="8" t="s">
        <v>29</v>
      </c>
      <c r="C30" s="9" t="n">
        <f aca="false">COUNTIF('Gap Register'!B:B,B30)</f>
        <v>2</v>
      </c>
    </row>
    <row r="31" customFormat="false" ht="15" hidden="false" customHeight="false" outlineLevel="0" collapsed="false">
      <c r="B31" s="8" t="s">
        <v>30</v>
      </c>
      <c r="C31" s="9" t="n">
        <f aca="false">COUNTIF('Gap Register'!B:B,B31)</f>
        <v>1</v>
      </c>
    </row>
  </sheetData>
  <mergeCells count="4">
    <mergeCell ref="B7:F7"/>
    <mergeCell ref="B11:F11"/>
    <mergeCell ref="B14:F14"/>
    <mergeCell ref="B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4"/>
    <col collapsed="false" customWidth="true" hidden="false" outlineLevel="0" max="4" min="4" style="0" width="20"/>
    <col collapsed="false" customWidth="true" hidden="false" outlineLevel="0" max="5" min="5" style="0" width="46"/>
    <col collapsed="false" customWidth="true" hidden="false" outlineLevel="0" max="6" min="6" style="0" width="62"/>
    <col collapsed="false" customWidth="true" hidden="false" outlineLevel="0" max="7" min="7" style="0" width="40"/>
    <col collapsed="false" customWidth="true" hidden="false" outlineLevel="0" max="8" min="8" style="0" width="26"/>
    <col collapsed="false" customWidth="true" hidden="false" outlineLevel="0" max="9" min="9" style="0" width="16"/>
    <col collapsed="false" customWidth="true" hidden="false" outlineLevel="0" max="10" min="10" style="0" width="9"/>
    <col collapsed="false" customWidth="true" hidden="false" outlineLevel="0" max="11" min="11" style="0" width="8"/>
  </cols>
  <sheetData>
    <row r="1" customFormat="false" ht="15" hidden="false" customHeight="false" outlineLevel="0" collapsed="false">
      <c r="A1" s="12" t="s">
        <v>31</v>
      </c>
      <c r="B1" s="12" t="s">
        <v>32</v>
      </c>
      <c r="C1" s="12" t="s">
        <v>33</v>
      </c>
      <c r="D1" s="12" t="s">
        <v>6</v>
      </c>
      <c r="E1" s="12" t="s">
        <v>34</v>
      </c>
      <c r="F1" s="12" t="s">
        <v>35</v>
      </c>
      <c r="G1" s="12" t="s">
        <v>36</v>
      </c>
      <c r="H1" s="12" t="s">
        <v>37</v>
      </c>
      <c r="I1" s="12" t="s">
        <v>10</v>
      </c>
      <c r="J1" s="12" t="s">
        <v>8</v>
      </c>
      <c r="K1" s="12" t="s">
        <v>38</v>
      </c>
    </row>
    <row r="2" customFormat="false" ht="79.85" hidden="false" customHeight="false" outlineLevel="0" collapsed="false">
      <c r="A2" s="13" t="s">
        <v>39</v>
      </c>
      <c r="B2" s="13" t="s">
        <v>15</v>
      </c>
      <c r="C2" s="13" t="s">
        <v>40</v>
      </c>
      <c r="D2" s="13" t="s">
        <v>41</v>
      </c>
      <c r="E2" s="13" t="s">
        <v>42</v>
      </c>
      <c r="F2" s="13" t="s">
        <v>43</v>
      </c>
      <c r="G2" s="13"/>
      <c r="H2" s="13" t="s">
        <v>44</v>
      </c>
      <c r="I2" s="13" t="s">
        <v>45</v>
      </c>
      <c r="J2" s="14" t="s">
        <v>46</v>
      </c>
      <c r="K2" s="13" t="s">
        <v>47</v>
      </c>
    </row>
    <row r="3" customFormat="false" ht="79.85" hidden="false" customHeight="false" outlineLevel="0" collapsed="false">
      <c r="A3" s="13" t="s">
        <v>48</v>
      </c>
      <c r="B3" s="13" t="s">
        <v>15</v>
      </c>
      <c r="C3" s="13" t="s">
        <v>49</v>
      </c>
      <c r="D3" s="13" t="s">
        <v>50</v>
      </c>
      <c r="E3" s="13" t="s">
        <v>51</v>
      </c>
      <c r="F3" s="13" t="s">
        <v>52</v>
      </c>
      <c r="G3" s="13" t="s">
        <v>53</v>
      </c>
      <c r="H3" s="13" t="s">
        <v>54</v>
      </c>
      <c r="I3" s="13" t="s">
        <v>55</v>
      </c>
      <c r="J3" s="15" t="s">
        <v>56</v>
      </c>
      <c r="K3" s="13" t="s">
        <v>47</v>
      </c>
    </row>
    <row r="4" customFormat="false" ht="46.25" hidden="false" customHeight="false" outlineLevel="0" collapsed="false">
      <c r="A4" s="13" t="s">
        <v>57</v>
      </c>
      <c r="B4" s="13" t="s">
        <v>17</v>
      </c>
      <c r="C4" s="13" t="s">
        <v>58</v>
      </c>
      <c r="D4" s="13" t="s">
        <v>41</v>
      </c>
      <c r="E4" s="13" t="s">
        <v>59</v>
      </c>
      <c r="F4" s="13" t="s">
        <v>60</v>
      </c>
      <c r="G4" s="13" t="s">
        <v>61</v>
      </c>
      <c r="H4" s="13" t="s">
        <v>62</v>
      </c>
      <c r="I4" s="13" t="s">
        <v>63</v>
      </c>
      <c r="J4" s="14" t="s">
        <v>46</v>
      </c>
      <c r="K4" s="13" t="s">
        <v>47</v>
      </c>
    </row>
    <row r="5" customFormat="false" ht="124.6" hidden="false" customHeight="false" outlineLevel="0" collapsed="false">
      <c r="A5" s="13" t="s">
        <v>64</v>
      </c>
      <c r="B5" s="13" t="s">
        <v>19</v>
      </c>
      <c r="C5" s="13" t="s">
        <v>65</v>
      </c>
      <c r="D5" s="13" t="s">
        <v>66</v>
      </c>
      <c r="E5" s="13" t="s">
        <v>67</v>
      </c>
      <c r="F5" s="13" t="s">
        <v>68</v>
      </c>
      <c r="G5" s="13"/>
      <c r="H5" s="13" t="s">
        <v>69</v>
      </c>
      <c r="I5" s="13" t="s">
        <v>45</v>
      </c>
      <c r="J5" s="14" t="s">
        <v>46</v>
      </c>
      <c r="K5" s="13" t="s">
        <v>47</v>
      </c>
    </row>
    <row r="6" customFormat="false" ht="91" hidden="false" customHeight="false" outlineLevel="0" collapsed="false">
      <c r="A6" s="13" t="s">
        <v>70</v>
      </c>
      <c r="B6" s="13" t="s">
        <v>19</v>
      </c>
      <c r="C6" s="13" t="s">
        <v>71</v>
      </c>
      <c r="D6" s="13" t="s">
        <v>41</v>
      </c>
      <c r="E6" s="13" t="s">
        <v>72</v>
      </c>
      <c r="F6" s="13" t="s">
        <v>73</v>
      </c>
      <c r="G6" s="13" t="s">
        <v>74</v>
      </c>
      <c r="H6" s="13" t="s">
        <v>75</v>
      </c>
      <c r="I6" s="13" t="s">
        <v>45</v>
      </c>
      <c r="J6" s="15" t="s">
        <v>56</v>
      </c>
      <c r="K6" s="13" t="s">
        <v>47</v>
      </c>
    </row>
    <row r="7" customFormat="false" ht="102.2" hidden="false" customHeight="false" outlineLevel="0" collapsed="false">
      <c r="A7" s="13" t="s">
        <v>76</v>
      </c>
      <c r="B7" s="13" t="s">
        <v>21</v>
      </c>
      <c r="C7" s="13" t="s">
        <v>77</v>
      </c>
      <c r="D7" s="13" t="s">
        <v>78</v>
      </c>
      <c r="E7" s="13" t="s">
        <v>79</v>
      </c>
      <c r="F7" s="13" t="s">
        <v>80</v>
      </c>
      <c r="G7" s="13"/>
      <c r="H7" s="13" t="s">
        <v>81</v>
      </c>
      <c r="I7" s="13" t="s">
        <v>45</v>
      </c>
      <c r="J7" s="14" t="s">
        <v>46</v>
      </c>
      <c r="K7" s="13" t="s">
        <v>47</v>
      </c>
    </row>
    <row r="8" customFormat="false" ht="91" hidden="false" customHeight="false" outlineLevel="0" collapsed="false">
      <c r="A8" s="13" t="s">
        <v>82</v>
      </c>
      <c r="B8" s="13" t="s">
        <v>21</v>
      </c>
      <c r="C8" s="13" t="s">
        <v>83</v>
      </c>
      <c r="D8" s="13" t="s">
        <v>41</v>
      </c>
      <c r="E8" s="13" t="s">
        <v>84</v>
      </c>
      <c r="F8" s="13" t="s">
        <v>85</v>
      </c>
      <c r="G8" s="13" t="s">
        <v>86</v>
      </c>
      <c r="H8" s="13" t="s">
        <v>87</v>
      </c>
      <c r="I8" s="13" t="s">
        <v>45</v>
      </c>
      <c r="J8" s="14" t="s">
        <v>46</v>
      </c>
      <c r="K8" s="13" t="s">
        <v>47</v>
      </c>
    </row>
    <row r="9" customFormat="false" ht="91" hidden="false" customHeight="false" outlineLevel="0" collapsed="false">
      <c r="A9" s="13" t="s">
        <v>88</v>
      </c>
      <c r="B9" s="13" t="s">
        <v>23</v>
      </c>
      <c r="C9" s="13" t="s">
        <v>89</v>
      </c>
      <c r="D9" s="13" t="s">
        <v>78</v>
      </c>
      <c r="E9" s="13" t="s">
        <v>90</v>
      </c>
      <c r="F9" s="13" t="s">
        <v>91</v>
      </c>
      <c r="G9" s="13" t="s">
        <v>92</v>
      </c>
      <c r="H9" s="13" t="s">
        <v>93</v>
      </c>
      <c r="I9" s="13" t="s">
        <v>55</v>
      </c>
      <c r="J9" s="14" t="s">
        <v>46</v>
      </c>
      <c r="K9" s="13" t="s">
        <v>47</v>
      </c>
    </row>
    <row r="10" customFormat="false" ht="102.2" hidden="false" customHeight="false" outlineLevel="0" collapsed="false">
      <c r="A10" s="13" t="s">
        <v>94</v>
      </c>
      <c r="B10" s="13" t="s">
        <v>23</v>
      </c>
      <c r="C10" s="13" t="s">
        <v>95</v>
      </c>
      <c r="D10" s="13" t="s">
        <v>41</v>
      </c>
      <c r="E10" s="13" t="s">
        <v>96</v>
      </c>
      <c r="F10" s="13" t="s">
        <v>97</v>
      </c>
      <c r="G10" s="13" t="s">
        <v>98</v>
      </c>
      <c r="H10" s="13" t="s">
        <v>99</v>
      </c>
      <c r="I10" s="13" t="s">
        <v>45</v>
      </c>
      <c r="J10" s="14" t="s">
        <v>46</v>
      </c>
      <c r="K10" s="13" t="s">
        <v>47</v>
      </c>
    </row>
    <row r="11" customFormat="false" ht="102.2" hidden="false" customHeight="false" outlineLevel="0" collapsed="false">
      <c r="A11" s="13" t="s">
        <v>100</v>
      </c>
      <c r="B11" s="13" t="s">
        <v>23</v>
      </c>
      <c r="C11" s="13" t="s">
        <v>101</v>
      </c>
      <c r="D11" s="13" t="s">
        <v>78</v>
      </c>
      <c r="E11" s="13" t="s">
        <v>102</v>
      </c>
      <c r="F11" s="13" t="s">
        <v>103</v>
      </c>
      <c r="G11" s="13"/>
      <c r="H11" s="13" t="s">
        <v>104</v>
      </c>
      <c r="I11" s="13" t="s">
        <v>45</v>
      </c>
      <c r="J11" s="14" t="s">
        <v>46</v>
      </c>
      <c r="K11" s="13" t="s">
        <v>47</v>
      </c>
    </row>
    <row r="12" customFormat="false" ht="91" hidden="false" customHeight="false" outlineLevel="0" collapsed="false">
      <c r="A12" s="13" t="s">
        <v>105</v>
      </c>
      <c r="B12" s="13" t="s">
        <v>23</v>
      </c>
      <c r="C12" s="13" t="s">
        <v>106</v>
      </c>
      <c r="D12" s="13" t="s">
        <v>41</v>
      </c>
      <c r="E12" s="13" t="s">
        <v>107</v>
      </c>
      <c r="F12" s="13" t="s">
        <v>108</v>
      </c>
      <c r="G12" s="13"/>
      <c r="H12" s="13" t="s">
        <v>109</v>
      </c>
      <c r="I12" s="13" t="s">
        <v>45</v>
      </c>
      <c r="J12" s="14" t="s">
        <v>46</v>
      </c>
      <c r="K12" s="13" t="s">
        <v>47</v>
      </c>
    </row>
    <row r="13" customFormat="false" ht="68.65" hidden="false" customHeight="false" outlineLevel="0" collapsed="false">
      <c r="A13" s="13" t="s">
        <v>110</v>
      </c>
      <c r="B13" s="13" t="s">
        <v>23</v>
      </c>
      <c r="C13" s="13" t="s">
        <v>111</v>
      </c>
      <c r="D13" s="13" t="s">
        <v>41</v>
      </c>
      <c r="E13" s="13" t="s">
        <v>112</v>
      </c>
      <c r="F13" s="13" t="s">
        <v>113</v>
      </c>
      <c r="G13" s="13"/>
      <c r="H13" s="13" t="s">
        <v>114</v>
      </c>
      <c r="I13" s="13" t="s">
        <v>63</v>
      </c>
      <c r="J13" s="15" t="s">
        <v>56</v>
      </c>
      <c r="K13" s="13" t="s">
        <v>47</v>
      </c>
    </row>
    <row r="14" customFormat="false" ht="113.4" hidden="false" customHeight="false" outlineLevel="0" collapsed="false">
      <c r="A14" s="13" t="s">
        <v>115</v>
      </c>
      <c r="B14" s="13" t="s">
        <v>23</v>
      </c>
      <c r="C14" s="13" t="s">
        <v>116</v>
      </c>
      <c r="D14" s="13" t="s">
        <v>66</v>
      </c>
      <c r="E14" s="13" t="s">
        <v>117</v>
      </c>
      <c r="F14" s="13" t="s">
        <v>118</v>
      </c>
      <c r="G14" s="13"/>
      <c r="H14" s="13" t="s">
        <v>119</v>
      </c>
      <c r="I14" s="13" t="s">
        <v>45</v>
      </c>
      <c r="J14" s="15" t="s">
        <v>56</v>
      </c>
      <c r="K14" s="13" t="s">
        <v>47</v>
      </c>
    </row>
    <row r="15" customFormat="false" ht="124.6" hidden="false" customHeight="false" outlineLevel="0" collapsed="false">
      <c r="A15" s="13" t="s">
        <v>120</v>
      </c>
      <c r="B15" s="13" t="s">
        <v>25</v>
      </c>
      <c r="C15" s="13" t="s">
        <v>121</v>
      </c>
      <c r="D15" s="13" t="s">
        <v>41</v>
      </c>
      <c r="E15" s="13" t="s">
        <v>122</v>
      </c>
      <c r="F15" s="13" t="s">
        <v>123</v>
      </c>
      <c r="G15" s="13" t="s">
        <v>124</v>
      </c>
      <c r="H15" s="13" t="s">
        <v>125</v>
      </c>
      <c r="I15" s="13" t="s">
        <v>126</v>
      </c>
      <c r="J15" s="14" t="s">
        <v>46</v>
      </c>
      <c r="K15" s="13" t="s">
        <v>47</v>
      </c>
    </row>
    <row r="16" customFormat="false" ht="102.2" hidden="false" customHeight="false" outlineLevel="0" collapsed="false">
      <c r="A16" s="13" t="s">
        <v>127</v>
      </c>
      <c r="B16" s="13" t="s">
        <v>25</v>
      </c>
      <c r="C16" s="13" t="s">
        <v>128</v>
      </c>
      <c r="D16" s="13" t="s">
        <v>41</v>
      </c>
      <c r="E16" s="13" t="s">
        <v>129</v>
      </c>
      <c r="F16" s="13" t="s">
        <v>130</v>
      </c>
      <c r="G16" s="13"/>
      <c r="H16" s="13" t="s">
        <v>131</v>
      </c>
      <c r="I16" s="13" t="s">
        <v>126</v>
      </c>
      <c r="J16" s="14" t="s">
        <v>46</v>
      </c>
      <c r="K16" s="13" t="s">
        <v>47</v>
      </c>
    </row>
    <row r="17" customFormat="false" ht="102.2" hidden="false" customHeight="false" outlineLevel="0" collapsed="false">
      <c r="A17" s="13" t="s">
        <v>132</v>
      </c>
      <c r="B17" s="13" t="s">
        <v>25</v>
      </c>
      <c r="C17" s="13" t="s">
        <v>133</v>
      </c>
      <c r="D17" s="13" t="s">
        <v>41</v>
      </c>
      <c r="E17" s="13" t="s">
        <v>134</v>
      </c>
      <c r="F17" s="13" t="s">
        <v>135</v>
      </c>
      <c r="G17" s="13"/>
      <c r="H17" s="13" t="s">
        <v>136</v>
      </c>
      <c r="I17" s="13" t="s">
        <v>126</v>
      </c>
      <c r="J17" s="14" t="s">
        <v>46</v>
      </c>
      <c r="K17" s="13" t="s">
        <v>47</v>
      </c>
    </row>
    <row r="18" customFormat="false" ht="113.4" hidden="false" customHeight="false" outlineLevel="0" collapsed="false">
      <c r="A18" s="13" t="s">
        <v>137</v>
      </c>
      <c r="B18" s="13" t="s">
        <v>26</v>
      </c>
      <c r="C18" s="13" t="s">
        <v>138</v>
      </c>
      <c r="D18" s="13" t="s">
        <v>41</v>
      </c>
      <c r="E18" s="13" t="s">
        <v>139</v>
      </c>
      <c r="F18" s="13" t="s">
        <v>140</v>
      </c>
      <c r="G18" s="13" t="s">
        <v>141</v>
      </c>
      <c r="H18" s="13" t="s">
        <v>142</v>
      </c>
      <c r="I18" s="13" t="s">
        <v>45</v>
      </c>
      <c r="J18" s="14" t="s">
        <v>46</v>
      </c>
      <c r="K18" s="13" t="s">
        <v>47</v>
      </c>
    </row>
    <row r="19" customFormat="false" ht="79.85" hidden="false" customHeight="false" outlineLevel="0" collapsed="false">
      <c r="A19" s="13" t="s">
        <v>143</v>
      </c>
      <c r="B19" s="13" t="s">
        <v>26</v>
      </c>
      <c r="C19" s="13" t="s">
        <v>144</v>
      </c>
      <c r="D19" s="13" t="s">
        <v>78</v>
      </c>
      <c r="E19" s="13" t="s">
        <v>145</v>
      </c>
      <c r="F19" s="13" t="s">
        <v>146</v>
      </c>
      <c r="G19" s="13" t="s">
        <v>147</v>
      </c>
      <c r="H19" s="13" t="s">
        <v>148</v>
      </c>
      <c r="I19" s="13" t="s">
        <v>45</v>
      </c>
      <c r="J19" s="14" t="s">
        <v>46</v>
      </c>
      <c r="K19" s="13" t="s">
        <v>47</v>
      </c>
    </row>
    <row r="20" customFormat="false" ht="79.85" hidden="false" customHeight="false" outlineLevel="0" collapsed="false">
      <c r="A20" s="13" t="s">
        <v>149</v>
      </c>
      <c r="B20" s="13" t="s">
        <v>26</v>
      </c>
      <c r="C20" s="13" t="s">
        <v>150</v>
      </c>
      <c r="D20" s="13" t="s">
        <v>41</v>
      </c>
      <c r="E20" s="13" t="s">
        <v>151</v>
      </c>
      <c r="F20" s="13" t="s">
        <v>152</v>
      </c>
      <c r="G20" s="13"/>
      <c r="H20" s="13" t="s">
        <v>153</v>
      </c>
      <c r="I20" s="13" t="s">
        <v>45</v>
      </c>
      <c r="J20" s="14" t="s">
        <v>46</v>
      </c>
      <c r="K20" s="13" t="s">
        <v>47</v>
      </c>
    </row>
    <row r="21" customFormat="false" ht="79.85" hidden="false" customHeight="false" outlineLevel="0" collapsed="false">
      <c r="A21" s="13" t="s">
        <v>154</v>
      </c>
      <c r="B21" s="13" t="s">
        <v>27</v>
      </c>
      <c r="C21" s="13" t="s">
        <v>155</v>
      </c>
      <c r="D21" s="13" t="s">
        <v>41</v>
      </c>
      <c r="E21" s="13" t="s">
        <v>156</v>
      </c>
      <c r="F21" s="13" t="s">
        <v>157</v>
      </c>
      <c r="G21" s="13" t="s">
        <v>158</v>
      </c>
      <c r="H21" s="13" t="s">
        <v>159</v>
      </c>
      <c r="I21" s="13" t="s">
        <v>63</v>
      </c>
      <c r="J21" s="14" t="s">
        <v>46</v>
      </c>
      <c r="K21" s="13" t="s">
        <v>47</v>
      </c>
    </row>
    <row r="22" customFormat="false" ht="124.6" hidden="false" customHeight="false" outlineLevel="0" collapsed="false">
      <c r="A22" s="13" t="s">
        <v>160</v>
      </c>
      <c r="B22" s="13" t="s">
        <v>27</v>
      </c>
      <c r="C22" s="13" t="s">
        <v>161</v>
      </c>
      <c r="D22" s="13" t="s">
        <v>78</v>
      </c>
      <c r="E22" s="13" t="s">
        <v>162</v>
      </c>
      <c r="F22" s="13" t="s">
        <v>163</v>
      </c>
      <c r="G22" s="13"/>
      <c r="H22" s="13" t="s">
        <v>164</v>
      </c>
      <c r="I22" s="13" t="s">
        <v>55</v>
      </c>
      <c r="J22" s="14" t="s">
        <v>46</v>
      </c>
      <c r="K22" s="13" t="s">
        <v>47</v>
      </c>
    </row>
    <row r="23" customFormat="false" ht="102.2" hidden="false" customHeight="false" outlineLevel="0" collapsed="false">
      <c r="A23" s="13" t="s">
        <v>165</v>
      </c>
      <c r="B23" s="13" t="s">
        <v>27</v>
      </c>
      <c r="C23" s="13" t="s">
        <v>166</v>
      </c>
      <c r="D23" s="13" t="s">
        <v>78</v>
      </c>
      <c r="E23" s="13" t="s">
        <v>167</v>
      </c>
      <c r="F23" s="13" t="s">
        <v>168</v>
      </c>
      <c r="G23" s="13" t="s">
        <v>169</v>
      </c>
      <c r="H23" s="13" t="s">
        <v>170</v>
      </c>
      <c r="I23" s="13" t="s">
        <v>45</v>
      </c>
      <c r="J23" s="14" t="s">
        <v>46</v>
      </c>
      <c r="K23" s="13" t="s">
        <v>47</v>
      </c>
    </row>
    <row r="24" customFormat="false" ht="79.85" hidden="false" customHeight="false" outlineLevel="0" collapsed="false">
      <c r="A24" s="13" t="s">
        <v>171</v>
      </c>
      <c r="B24" s="13" t="s">
        <v>28</v>
      </c>
      <c r="C24" s="13" t="s">
        <v>172</v>
      </c>
      <c r="D24" s="13" t="s">
        <v>78</v>
      </c>
      <c r="E24" s="13" t="s">
        <v>173</v>
      </c>
      <c r="F24" s="13" t="s">
        <v>174</v>
      </c>
      <c r="G24" s="13"/>
      <c r="H24" s="13" t="s">
        <v>175</v>
      </c>
      <c r="I24" s="13" t="s">
        <v>45</v>
      </c>
      <c r="J24" s="14" t="s">
        <v>46</v>
      </c>
      <c r="K24" s="13" t="s">
        <v>47</v>
      </c>
    </row>
    <row r="25" customFormat="false" ht="102.2" hidden="false" customHeight="false" outlineLevel="0" collapsed="false">
      <c r="A25" s="13" t="s">
        <v>176</v>
      </c>
      <c r="B25" s="13" t="s">
        <v>28</v>
      </c>
      <c r="C25" s="13" t="s">
        <v>177</v>
      </c>
      <c r="D25" s="13" t="s">
        <v>78</v>
      </c>
      <c r="E25" s="13" t="s">
        <v>178</v>
      </c>
      <c r="F25" s="13" t="s">
        <v>179</v>
      </c>
      <c r="G25" s="13"/>
      <c r="H25" s="13" t="s">
        <v>180</v>
      </c>
      <c r="I25" s="13" t="s">
        <v>45</v>
      </c>
      <c r="J25" s="15" t="s">
        <v>56</v>
      </c>
      <c r="K25" s="13" t="s">
        <v>47</v>
      </c>
    </row>
    <row r="26" customFormat="false" ht="91" hidden="false" customHeight="false" outlineLevel="0" collapsed="false">
      <c r="A26" s="13" t="s">
        <v>181</v>
      </c>
      <c r="B26" s="13" t="s">
        <v>29</v>
      </c>
      <c r="C26" s="13" t="s">
        <v>182</v>
      </c>
      <c r="D26" s="13" t="s">
        <v>66</v>
      </c>
      <c r="E26" s="13" t="s">
        <v>183</v>
      </c>
      <c r="F26" s="13" t="s">
        <v>184</v>
      </c>
      <c r="G26" s="13" t="s">
        <v>185</v>
      </c>
      <c r="H26" s="13" t="s">
        <v>186</v>
      </c>
      <c r="I26" s="13" t="s">
        <v>45</v>
      </c>
      <c r="J26" s="14" t="s">
        <v>46</v>
      </c>
      <c r="K26" s="13" t="s">
        <v>47</v>
      </c>
    </row>
    <row r="27" customFormat="false" ht="91" hidden="false" customHeight="false" outlineLevel="0" collapsed="false">
      <c r="A27" s="13" t="s">
        <v>187</v>
      </c>
      <c r="B27" s="13" t="s">
        <v>29</v>
      </c>
      <c r="C27" s="13" t="s">
        <v>188</v>
      </c>
      <c r="D27" s="13" t="s">
        <v>78</v>
      </c>
      <c r="E27" s="13" t="s">
        <v>189</v>
      </c>
      <c r="F27" s="13" t="s">
        <v>190</v>
      </c>
      <c r="G27" s="13" t="s">
        <v>191</v>
      </c>
      <c r="H27" s="13" t="s">
        <v>192</v>
      </c>
      <c r="I27" s="13" t="s">
        <v>45</v>
      </c>
      <c r="J27" s="14" t="s">
        <v>46</v>
      </c>
      <c r="K27" s="13" t="s">
        <v>47</v>
      </c>
    </row>
    <row r="28" customFormat="false" ht="102.2" hidden="false" customHeight="false" outlineLevel="0" collapsed="false">
      <c r="A28" s="13" t="s">
        <v>193</v>
      </c>
      <c r="B28" s="13" t="s">
        <v>30</v>
      </c>
      <c r="C28" s="13" t="s">
        <v>194</v>
      </c>
      <c r="D28" s="13" t="s">
        <v>78</v>
      </c>
      <c r="E28" s="13" t="s">
        <v>195</v>
      </c>
      <c r="F28" s="13" t="s">
        <v>196</v>
      </c>
      <c r="G28" s="13" t="s">
        <v>197</v>
      </c>
      <c r="H28" s="13" t="s">
        <v>198</v>
      </c>
      <c r="I28" s="13" t="s">
        <v>199</v>
      </c>
      <c r="J28" s="14" t="s">
        <v>46</v>
      </c>
      <c r="K28" s="13" t="s">
        <v>47</v>
      </c>
    </row>
  </sheetData>
  <autoFilter ref="A1:K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4"/>
    <col collapsed="false" customWidth="true" hidden="false" outlineLevel="0" max="5" min="4" style="0" width="52"/>
  </cols>
  <sheetData>
    <row r="1" customFormat="false" ht="15" hidden="false" customHeight="false" outlineLevel="0" collapsed="false">
      <c r="A1" s="12" t="s">
        <v>31</v>
      </c>
      <c r="B1" s="12" t="s">
        <v>32</v>
      </c>
      <c r="C1" s="12" t="s">
        <v>200</v>
      </c>
      <c r="D1" s="12" t="s">
        <v>201</v>
      </c>
      <c r="E1" s="12" t="s">
        <v>202</v>
      </c>
    </row>
    <row r="2" customFormat="false" ht="46.25" hidden="false" customHeight="false" outlineLevel="0" collapsed="false">
      <c r="A2" s="13" t="s">
        <v>203</v>
      </c>
      <c r="B2" s="13" t="s">
        <v>23</v>
      </c>
      <c r="C2" s="13" t="s">
        <v>204</v>
      </c>
      <c r="D2" s="13" t="s">
        <v>205</v>
      </c>
      <c r="E2" s="13" t="s">
        <v>206</v>
      </c>
    </row>
    <row r="3" customFormat="false" ht="46.25" hidden="false" customHeight="false" outlineLevel="0" collapsed="false">
      <c r="A3" s="13" t="s">
        <v>207</v>
      </c>
      <c r="B3" s="13" t="s">
        <v>15</v>
      </c>
      <c r="C3" s="13" t="s">
        <v>208</v>
      </c>
      <c r="D3" s="13" t="s">
        <v>209</v>
      </c>
      <c r="E3" s="13" t="s">
        <v>210</v>
      </c>
    </row>
    <row r="4" customFormat="false" ht="35.05" hidden="false" customHeight="false" outlineLevel="0" collapsed="false">
      <c r="A4" s="13" t="s">
        <v>211</v>
      </c>
      <c r="B4" s="13" t="s">
        <v>15</v>
      </c>
      <c r="C4" s="13" t="s">
        <v>212</v>
      </c>
      <c r="D4" s="13" t="s">
        <v>213</v>
      </c>
      <c r="E4" s="13" t="s">
        <v>214</v>
      </c>
    </row>
    <row r="5" customFormat="false" ht="180.55" hidden="false" customHeight="false" outlineLevel="0" collapsed="false">
      <c r="A5" s="13" t="s">
        <v>215</v>
      </c>
      <c r="B5" s="13" t="s">
        <v>216</v>
      </c>
      <c r="C5" s="13" t="s">
        <v>217</v>
      </c>
      <c r="D5" s="13" t="s">
        <v>218</v>
      </c>
      <c r="E5" s="13" t="s">
        <v>219</v>
      </c>
    </row>
    <row r="6" customFormat="false" ht="35.05" hidden="false" customHeight="false" outlineLevel="0" collapsed="false">
      <c r="A6" s="13" t="s">
        <v>220</v>
      </c>
      <c r="B6" s="13" t="s">
        <v>216</v>
      </c>
      <c r="C6" s="13" t="s">
        <v>221</v>
      </c>
      <c r="D6" s="13" t="s">
        <v>222</v>
      </c>
      <c r="E6" s="13" t="s">
        <v>223</v>
      </c>
    </row>
    <row r="7" customFormat="false" ht="46.25" hidden="false" customHeight="false" outlineLevel="0" collapsed="false">
      <c r="A7" s="13" t="s">
        <v>224</v>
      </c>
      <c r="B7" s="13" t="s">
        <v>225</v>
      </c>
      <c r="C7" s="13" t="s">
        <v>226</v>
      </c>
      <c r="D7" s="13" t="s">
        <v>227</v>
      </c>
      <c r="E7" s="13" t="s">
        <v>228</v>
      </c>
    </row>
    <row r="8" customFormat="false" ht="57.45" hidden="false" customHeight="false" outlineLevel="0" collapsed="false">
      <c r="A8" s="13" t="s">
        <v>229</v>
      </c>
      <c r="B8" s="13" t="s">
        <v>225</v>
      </c>
      <c r="C8" s="13" t="s">
        <v>230</v>
      </c>
      <c r="D8" s="13" t="s">
        <v>231</v>
      </c>
      <c r="E8" s="13" t="s">
        <v>232</v>
      </c>
    </row>
    <row r="9" customFormat="false" ht="23.85" hidden="false" customHeight="false" outlineLevel="0" collapsed="false">
      <c r="A9" s="13" t="s">
        <v>233</v>
      </c>
      <c r="B9" s="13" t="s">
        <v>225</v>
      </c>
      <c r="C9" s="13" t="s">
        <v>234</v>
      </c>
      <c r="D9" s="13" t="s">
        <v>235</v>
      </c>
      <c r="E9" s="13" t="s">
        <v>236</v>
      </c>
    </row>
    <row r="10" customFormat="false" ht="57.45" hidden="false" customHeight="false" outlineLevel="0" collapsed="false">
      <c r="A10" s="13" t="s">
        <v>237</v>
      </c>
      <c r="B10" s="13" t="s">
        <v>225</v>
      </c>
      <c r="C10" s="13" t="s">
        <v>238</v>
      </c>
      <c r="D10" s="13" t="s">
        <v>239</v>
      </c>
      <c r="E10" s="13" t="s">
        <v>240</v>
      </c>
    </row>
    <row r="11" customFormat="false" ht="35.05" hidden="false" customHeight="false" outlineLevel="0" collapsed="false">
      <c r="A11" s="13" t="s">
        <v>241</v>
      </c>
      <c r="B11" s="13" t="s">
        <v>225</v>
      </c>
      <c r="C11" s="13" t="s">
        <v>242</v>
      </c>
      <c r="D11" s="13" t="s">
        <v>243</v>
      </c>
      <c r="E11" s="13" t="s">
        <v>244</v>
      </c>
    </row>
    <row r="12" customFormat="false" ht="46.25" hidden="false" customHeight="false" outlineLevel="0" collapsed="false">
      <c r="A12" s="13" t="s">
        <v>245</v>
      </c>
      <c r="B12" s="13" t="s">
        <v>225</v>
      </c>
      <c r="C12" s="13" t="s">
        <v>246</v>
      </c>
      <c r="D12" s="13" t="s">
        <v>247</v>
      </c>
      <c r="E12" s="13" t="s">
        <v>248</v>
      </c>
    </row>
    <row r="13" customFormat="false" ht="46.25" hidden="false" customHeight="false" outlineLevel="0" collapsed="false">
      <c r="A13" s="13" t="s">
        <v>249</v>
      </c>
      <c r="B13" s="13" t="s">
        <v>17</v>
      </c>
      <c r="C13" s="13" t="s">
        <v>250</v>
      </c>
      <c r="D13" s="13" t="s">
        <v>251</v>
      </c>
      <c r="E13" s="13" t="s">
        <v>252</v>
      </c>
    </row>
    <row r="14" customFormat="false" ht="46.25" hidden="false" customHeight="false" outlineLevel="0" collapsed="false">
      <c r="A14" s="13" t="s">
        <v>253</v>
      </c>
      <c r="B14" s="13" t="s">
        <v>17</v>
      </c>
      <c r="C14" s="13" t="s">
        <v>254</v>
      </c>
      <c r="D14" s="13" t="s">
        <v>255</v>
      </c>
      <c r="E14" s="13" t="s">
        <v>256</v>
      </c>
    </row>
    <row r="15" customFormat="false" ht="46.25" hidden="false" customHeight="false" outlineLevel="0" collapsed="false">
      <c r="A15" s="13" t="s">
        <v>257</v>
      </c>
      <c r="B15" s="13" t="s">
        <v>17</v>
      </c>
      <c r="C15" s="13" t="s">
        <v>258</v>
      </c>
      <c r="D15" s="13" t="s">
        <v>259</v>
      </c>
      <c r="E15" s="13" t="s">
        <v>260</v>
      </c>
    </row>
    <row r="16" customFormat="false" ht="46.25" hidden="false" customHeight="false" outlineLevel="0" collapsed="false">
      <c r="A16" s="13" t="s">
        <v>261</v>
      </c>
      <c r="B16" s="13" t="s">
        <v>19</v>
      </c>
      <c r="C16" s="13" t="s">
        <v>262</v>
      </c>
      <c r="D16" s="13" t="s">
        <v>263</v>
      </c>
      <c r="E16" s="13" t="s">
        <v>264</v>
      </c>
    </row>
    <row r="17" customFormat="false" ht="46.25" hidden="false" customHeight="false" outlineLevel="0" collapsed="false">
      <c r="A17" s="13" t="s">
        <v>265</v>
      </c>
      <c r="B17" s="13" t="s">
        <v>21</v>
      </c>
      <c r="C17" s="13" t="s">
        <v>266</v>
      </c>
      <c r="D17" s="13" t="s">
        <v>267</v>
      </c>
      <c r="E17" s="13" t="s">
        <v>268</v>
      </c>
    </row>
    <row r="18" customFormat="false" ht="68.65" hidden="false" customHeight="false" outlineLevel="0" collapsed="false">
      <c r="A18" s="13" t="s">
        <v>269</v>
      </c>
      <c r="B18" s="13" t="s">
        <v>23</v>
      </c>
      <c r="C18" s="13" t="s">
        <v>270</v>
      </c>
      <c r="D18" s="13" t="s">
        <v>271</v>
      </c>
      <c r="E18" s="13" t="s">
        <v>272</v>
      </c>
    </row>
    <row r="19" customFormat="false" ht="68.65" hidden="false" customHeight="false" outlineLevel="0" collapsed="false">
      <c r="A19" s="13" t="s">
        <v>273</v>
      </c>
      <c r="B19" s="13" t="s">
        <v>23</v>
      </c>
      <c r="C19" s="13" t="s">
        <v>274</v>
      </c>
      <c r="D19" s="13" t="s">
        <v>275</v>
      </c>
      <c r="E19" s="13" t="s">
        <v>276</v>
      </c>
    </row>
    <row r="20" customFormat="false" ht="35.05" hidden="false" customHeight="false" outlineLevel="0" collapsed="false">
      <c r="A20" s="13" t="s">
        <v>277</v>
      </c>
      <c r="B20" s="13" t="s">
        <v>23</v>
      </c>
      <c r="C20" s="13" t="s">
        <v>278</v>
      </c>
      <c r="D20" s="13" t="s">
        <v>279</v>
      </c>
      <c r="E20" s="13" t="s">
        <v>280</v>
      </c>
    </row>
    <row r="21" customFormat="false" ht="46.25" hidden="false" customHeight="false" outlineLevel="0" collapsed="false">
      <c r="A21" s="13" t="s">
        <v>281</v>
      </c>
      <c r="B21" s="13" t="s">
        <v>23</v>
      </c>
      <c r="C21" s="13" t="s">
        <v>282</v>
      </c>
      <c r="D21" s="13" t="s">
        <v>283</v>
      </c>
      <c r="E21" s="13" t="s">
        <v>284</v>
      </c>
    </row>
    <row r="22" customFormat="false" ht="35.05" hidden="false" customHeight="false" outlineLevel="0" collapsed="false">
      <c r="A22" s="13" t="s">
        <v>285</v>
      </c>
      <c r="B22" s="13" t="s">
        <v>25</v>
      </c>
      <c r="C22" s="13" t="s">
        <v>286</v>
      </c>
      <c r="D22" s="13" t="s">
        <v>287</v>
      </c>
      <c r="E22" s="13" t="s">
        <v>288</v>
      </c>
    </row>
    <row r="23" customFormat="false" ht="46.25" hidden="false" customHeight="false" outlineLevel="0" collapsed="false">
      <c r="A23" s="13" t="s">
        <v>289</v>
      </c>
      <c r="B23" s="13" t="s">
        <v>26</v>
      </c>
      <c r="C23" s="13" t="s">
        <v>290</v>
      </c>
      <c r="D23" s="13" t="s">
        <v>291</v>
      </c>
      <c r="E23" s="13" t="s">
        <v>292</v>
      </c>
    </row>
    <row r="24" customFormat="false" ht="23.85" hidden="false" customHeight="false" outlineLevel="0" collapsed="false">
      <c r="A24" s="13" t="s">
        <v>293</v>
      </c>
      <c r="B24" s="13" t="s">
        <v>26</v>
      </c>
      <c r="C24" s="13" t="s">
        <v>294</v>
      </c>
      <c r="D24" s="13" t="s">
        <v>295</v>
      </c>
      <c r="E24" s="13" t="s">
        <v>296</v>
      </c>
    </row>
    <row r="25" customFormat="false" ht="46.25" hidden="false" customHeight="false" outlineLevel="0" collapsed="false">
      <c r="A25" s="13" t="s">
        <v>297</v>
      </c>
      <c r="B25" s="13" t="s">
        <v>26</v>
      </c>
      <c r="C25" s="13" t="s">
        <v>298</v>
      </c>
      <c r="D25" s="13" t="s">
        <v>299</v>
      </c>
      <c r="E25" s="13" t="s">
        <v>300</v>
      </c>
    </row>
    <row r="26" customFormat="false" ht="15" hidden="false" customHeight="false" outlineLevel="0" collapsed="false">
      <c r="A26" s="13" t="s">
        <v>301</v>
      </c>
      <c r="B26" s="13" t="s">
        <v>26</v>
      </c>
      <c r="C26" s="13" t="s">
        <v>302</v>
      </c>
      <c r="D26" s="13" t="s">
        <v>303</v>
      </c>
      <c r="E26" s="13" t="s">
        <v>304</v>
      </c>
    </row>
    <row r="27" customFormat="false" ht="46.25" hidden="false" customHeight="false" outlineLevel="0" collapsed="false">
      <c r="A27" s="13" t="s">
        <v>305</v>
      </c>
      <c r="B27" s="13" t="s">
        <v>26</v>
      </c>
      <c r="C27" s="13" t="s">
        <v>306</v>
      </c>
      <c r="D27" s="13" t="s">
        <v>307</v>
      </c>
      <c r="E27" s="13" t="s">
        <v>308</v>
      </c>
    </row>
    <row r="28" customFormat="false" ht="23.85" hidden="false" customHeight="false" outlineLevel="0" collapsed="false">
      <c r="A28" s="13" t="s">
        <v>309</v>
      </c>
      <c r="B28" s="13" t="s">
        <v>29</v>
      </c>
      <c r="C28" s="13" t="s">
        <v>310</v>
      </c>
      <c r="D28" s="13" t="s">
        <v>311</v>
      </c>
      <c r="E28" s="13" t="s">
        <v>312</v>
      </c>
    </row>
    <row r="29" customFormat="false" ht="23.85" hidden="false" customHeight="false" outlineLevel="0" collapsed="false">
      <c r="A29" s="13" t="s">
        <v>313</v>
      </c>
      <c r="B29" s="13" t="s">
        <v>29</v>
      </c>
      <c r="C29" s="13" t="s">
        <v>314</v>
      </c>
      <c r="D29" s="13" t="s">
        <v>315</v>
      </c>
      <c r="E29" s="13" t="s">
        <v>316</v>
      </c>
    </row>
    <row r="30" customFormat="false" ht="15" hidden="false" customHeight="false" outlineLevel="0" collapsed="false">
      <c r="A30" s="13" t="s">
        <v>317</v>
      </c>
      <c r="B30" s="13" t="s">
        <v>29</v>
      </c>
      <c r="C30" s="13" t="s">
        <v>318</v>
      </c>
      <c r="D30" s="13" t="s">
        <v>319</v>
      </c>
      <c r="E30" s="13" t="s">
        <v>320</v>
      </c>
    </row>
    <row r="31" customFormat="false" ht="23.85" hidden="false" customHeight="false" outlineLevel="0" collapsed="false">
      <c r="A31" s="13" t="s">
        <v>321</v>
      </c>
      <c r="B31" s="13" t="s">
        <v>30</v>
      </c>
      <c r="C31" s="13" t="s">
        <v>322</v>
      </c>
      <c r="D31" s="13" t="s">
        <v>323</v>
      </c>
      <c r="E31" s="13" t="s">
        <v>324</v>
      </c>
    </row>
    <row r="32" customFormat="false" ht="68.65" hidden="false" customHeight="false" outlineLevel="0" collapsed="false">
      <c r="A32" s="13" t="s">
        <v>325</v>
      </c>
      <c r="B32" s="13" t="s">
        <v>30</v>
      </c>
      <c r="C32" s="13" t="s">
        <v>326</v>
      </c>
      <c r="D32" s="13" t="s">
        <v>327</v>
      </c>
      <c r="E32" s="13" t="s">
        <v>328</v>
      </c>
    </row>
    <row r="33" customFormat="false" ht="57.45" hidden="false" customHeight="false" outlineLevel="0" collapsed="false">
      <c r="A33" s="13" t="s">
        <v>329</v>
      </c>
      <c r="B33" s="13" t="s">
        <v>30</v>
      </c>
      <c r="C33" s="13" t="s">
        <v>330</v>
      </c>
      <c r="D33" s="13" t="s">
        <v>331</v>
      </c>
      <c r="E33" s="13" t="s">
        <v>332</v>
      </c>
    </row>
    <row r="34" customFormat="false" ht="35.05" hidden="false" customHeight="false" outlineLevel="0" collapsed="false">
      <c r="A34" s="13" t="s">
        <v>333</v>
      </c>
      <c r="B34" s="13" t="s">
        <v>30</v>
      </c>
      <c r="C34" s="13" t="s">
        <v>334</v>
      </c>
      <c r="D34" s="13" t="s">
        <v>335</v>
      </c>
      <c r="E34" s="13" t="s">
        <v>336</v>
      </c>
    </row>
    <row r="35" customFormat="false" ht="23.85" hidden="false" customHeight="false" outlineLevel="0" collapsed="false">
      <c r="A35" s="13" t="s">
        <v>337</v>
      </c>
      <c r="B35" s="13" t="s">
        <v>30</v>
      </c>
      <c r="C35" s="13" t="s">
        <v>338</v>
      </c>
      <c r="D35" s="13" t="s">
        <v>339</v>
      </c>
      <c r="E35" s="13" t="s">
        <v>340</v>
      </c>
    </row>
    <row r="36" customFormat="false" ht="23.85" hidden="false" customHeight="false" outlineLevel="0" collapsed="false">
      <c r="A36" s="13" t="s">
        <v>341</v>
      </c>
      <c r="B36" s="13" t="s">
        <v>30</v>
      </c>
      <c r="C36" s="13" t="s">
        <v>342</v>
      </c>
      <c r="D36" s="13" t="s">
        <v>343</v>
      </c>
      <c r="E36" s="13" t="s">
        <v>344</v>
      </c>
    </row>
    <row r="37" customFormat="false" ht="23.85" hidden="false" customHeight="false" outlineLevel="0" collapsed="false">
      <c r="A37" s="13" t="s">
        <v>345</v>
      </c>
      <c r="B37" s="13" t="s">
        <v>346</v>
      </c>
      <c r="C37" s="13" t="s">
        <v>347</v>
      </c>
      <c r="D37" s="13" t="s">
        <v>348</v>
      </c>
      <c r="E37" s="13" t="s">
        <v>349</v>
      </c>
    </row>
    <row r="38" customFormat="false" ht="15" hidden="false" customHeight="false" outlineLevel="0" collapsed="false">
      <c r="A38" s="13" t="s">
        <v>350</v>
      </c>
      <c r="B38" s="13" t="s">
        <v>346</v>
      </c>
      <c r="C38" s="13" t="s">
        <v>351</v>
      </c>
      <c r="D38" s="13" t="s">
        <v>352</v>
      </c>
      <c r="E38" s="13" t="s">
        <v>353</v>
      </c>
    </row>
  </sheetData>
  <autoFilter ref="A1:E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2026-08-25T13:08:46Z</dcterms:created>
  <dc:creator>openpyxl</dc:creator>
  <dc:description/>
  <dc:language>en-US</dc:language>
  <cp:lastModifiedBy/>
  <dcterms:modified xsi:type="dcterms:W3CDTF">2026-08-25T13:08:46Z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