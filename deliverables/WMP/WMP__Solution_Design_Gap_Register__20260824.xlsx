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ap Register" sheetId="2" state="visible" r:id="rId4"/>
  </sheets>
  <definedNames>
    <definedName function="false" hidden="false" localSheetId="1" name="_xlnm.Print_Titles" vbProcedure="false">'Gap Register'!$1:$1</definedName>
    <definedName function="false" hidden="true" localSheetId="1" name="_xlnm._FilterDatabase" vbProcedure="false">'Gap Register'!$A$1:$K$65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<sst xmlns="http://schemas.openxmlformats.org/spreadsheetml/2006/main" count="730" uniqueCount="400">
  <si>
    <t xml:space="preserve">WMP Solution Design — Inputs &amp; Decisions Gap Register</t>
  </si>
  <si>
    <t xml:space="preserve">Wisconsin Metal Parts · Microsoft 365 GCC High Migration (CMMC 2.0 Level 2)</t>
  </si>
  <si>
    <t xml:space="preserve">Date: 8/24/2026     |     Prepared by: Essendis     |     Status: Draft for review</t>
  </si>
  <si>
    <t xml:space="preserve">Sources: WMP Microsoft Government Cloud Migration Design v1.1 (8/24/2026) and the WMP GCC High Migration WBS (all ten sheets). Every row was checked against the design text; items the design already defines are excluded.</t>
  </si>
  <si>
    <t xml:space="preserve">Purpose</t>
  </si>
  <si>
    <t xml:space="preserve">This register is the companion to the solution design: it records every input, decision, and settings-level definition the design does not yet capture — undocumented decisions already taken, decisions still to be made, inputs owed by WMP or a partner, and the items the design itself flags as open. Resolve each row and fold the answer back into the solution design or, where the item is a configuration value, into the as-configured document. A row is closed when its answer exists in a document, not when it has been discussed.</t>
  </si>
  <si>
    <t xml:space="preserve">How to use this register</t>
  </si>
  <si>
    <t xml:space="preserve">ID</t>
  </si>
  <si>
    <t xml:space="preserve">Stable reference (G-01…). Cite it in meeting notes and change requests.</t>
  </si>
  <si>
    <t xml:space="preserve">Category</t>
  </si>
  <si>
    <t xml:space="preserve">Follows the solution design's own structure, so answers land in a known section.</t>
  </si>
  <si>
    <t xml:space="preserve">Gap / Missing Item</t>
  </si>
  <si>
    <t xml:space="preserve">What the design does not capture. Where the design covers part of an item, the row states only the remaining delta.</t>
  </si>
  <si>
    <t xml:space="preserve">Type</t>
  </si>
  <si>
    <t xml:space="preserve">Undocumented decision — decided, never written down.  |  Missing decision — nobody has decided.  |  Missing input — data owed by WMP or a partner.  |  Open item in doc — the design already flags it; tracked here so this is the single list.</t>
  </si>
  <si>
    <t xml:space="preserve">Why It Matters</t>
  </si>
  <si>
    <t xml:space="preserve">The consequence of leaving it open — CMMC/NIST practice or operational risk.</t>
  </si>
  <si>
    <t xml:space="preserve">Key Questions</t>
  </si>
  <si>
    <t xml:space="preserve">The questions to put to the named owner. Answering all of them closes the row.</t>
  </si>
  <si>
    <t xml:space="preserve">Proposed Direction / Known Answer</t>
  </si>
  <si>
    <t xml:space="preserve">Filled only where an answer is genuinely known today; blank means undecided, not overlooked.</t>
  </si>
  <si>
    <t xml:space="preserve">Design Doc Section</t>
  </si>
  <si>
    <t xml:space="preserve">Where the answer belongs once resolved.</t>
  </si>
  <si>
    <t xml:space="preserve">Owner</t>
  </si>
  <si>
    <t xml:space="preserve">Who must supply the answer — WMP, Essendis, the RPO (Bound Planet), CallTower, AvePoint, or a pairing.</t>
  </si>
  <si>
    <t xml:space="preserve">Priority</t>
  </si>
  <si>
    <t xml:space="preserve">High — blocks configuration or CMMC evidence.  |  Medium — needed before handoff.  |  Low — refinement.</t>
  </si>
  <si>
    <t xml:space="preserve">Status</t>
  </si>
  <si>
    <t xml:space="preserve">Open / In progress / Answered / Closed. All rows start Open.</t>
  </si>
  <si>
    <t xml:space="preserve">Open items by category</t>
  </si>
  <si>
    <t xml:space="preserve">By priority</t>
  </si>
  <si>
    <t xml:space="preserve">Total</t>
  </si>
  <si>
    <t xml:space="preserve">High</t>
  </si>
  <si>
    <t xml:space="preserve">Med/Low</t>
  </si>
  <si>
    <t xml:space="preserve">Program &amp; Scope</t>
  </si>
  <si>
    <t xml:space="preserve">Licensing</t>
  </si>
  <si>
    <t xml:space="preserve">Medium</t>
  </si>
  <si>
    <t xml:space="preserve">Identity &amp; Access</t>
  </si>
  <si>
    <t xml:space="preserve">Low</t>
  </si>
  <si>
    <t xml:space="preserve">Conditional Access</t>
  </si>
  <si>
    <t xml:space="preserve">Exchange Online &amp; Mail Flow</t>
  </si>
  <si>
    <t xml:space="preserve">Collaboration Workloads</t>
  </si>
  <si>
    <t xml:space="preserve">By type</t>
  </si>
  <si>
    <t xml:space="preserve">Endpoint &amp; Device Management</t>
  </si>
  <si>
    <t xml:space="preserve">Teams Voice</t>
  </si>
  <si>
    <t xml:space="preserve">Undocumented decision</t>
  </si>
  <si>
    <t xml:space="preserve">Data Migration</t>
  </si>
  <si>
    <t xml:space="preserve">Missing decision</t>
  </si>
  <si>
    <t xml:space="preserve">Device Migration</t>
  </si>
  <si>
    <t xml:space="preserve">Missing input</t>
  </si>
  <si>
    <t xml:space="preserve">Exchange Decommission</t>
  </si>
  <si>
    <t xml:space="preserve">Open item in doc</t>
  </si>
  <si>
    <t xml:space="preserve">Operations &amp; Support</t>
  </si>
  <si>
    <t xml:space="preserve">CUI Governance &amp; Compliance</t>
  </si>
  <si>
    <t xml:space="preserve">Documentation &amp; Handoff</t>
  </si>
  <si>
    <t xml:space="preserve">All counts are COUNTIF/COUNTIFS formulas over the Gap Register sheet and update automatically as rows are added, re-categorised, or re-prioritised. Nothing on this sheet is a typed-in number.</t>
  </si>
  <si>
    <t xml:space="preserve">G-01</t>
  </si>
  <si>
    <t xml:space="preserve">Endpoint security baselines are absent from the design. The decision to deploy Microsoft Security Compliance Toolkit baselines through Intune has already been made but appears nowhere in the document, and WBS 4.3.1 instead names the Intune MDM Security Baseline — two different mechanisms.</t>
  </si>
  <si>
    <t xml:space="preserve">Baselines are the single largest source of endpoint hardening evidence for CMMC CM.L2-3.4.1/3.4.2 (baseline configuration and security configuration enforcement); an undocumented baseline cannot be assessed, versioned, or defended in an audit.</t>
  </si>
  <si>
    <t xml:space="preserve">Which baselines are in scope — Windows 11 (and Server, if any), Microsoft Edge, Microsoft Defender Antivirus, and Microsoft 365 Apps for Enterprise?
Which release of each baseline is pinned at go-live, and what is the review/update cadence once Microsoft publishes a new version?
Is the intent the Security Compliance Toolkit (GPO-format baselines imported to Intune) or the Intune-native MDM security baseline that WBS 4.3.1 names? The two produce different settings and different evidence.
How are intentional deviations recorded — is there a deviation register with justification per setting for the CMMC evidence package?
When a baseline setting conflicts with an Intune configuration profile or a CIS/DISA STIG expectation, which wins, and who arbitrates?
Which pilot ring validates baselines before broad assignment, and what is the rollback if a baseline breaks a shop-floor or CAD application?</t>
  </si>
  <si>
    <t xml:space="preserve">Decision already taken (not yet in the document): Microsoft Security Compliance Toolkit baselines deployed via Intune. This must be written into the design, reconciled with WBS 4.3.1's "MDM Security Baseline" wording, and pinned to specific baseline versions.</t>
  </si>
  <si>
    <t xml:space="preserve">New section: M365 Design &gt; Endpoint Configuration (Windows)</t>
  </si>
  <si>
    <t xml:space="preserve">Essendis</t>
  </si>
  <si>
    <t xml:space="preserve">Open</t>
  </si>
  <si>
    <t xml:space="preserve">G-02</t>
  </si>
  <si>
    <t xml:space="preserve">GCC High tenant procurement is assumed complete. The design opens at "immediately upon tenant creation" with no coverage of GCC High eligibility validation, the licensing partner (AOS-G/CSP-G), or provisioning lead time.</t>
  </si>
  <si>
    <t xml:space="preserve">GCC High is a sponsored, eligibility-validated cloud; validation and provisioning routinely take several weeks and gate every other task in the WBS, against a stated 12-week implementation.</t>
  </si>
  <si>
    <t xml:space="preserve">Which AOS-G / GCC High authorised partner holds the agreement, and is the eligibility validation submitted, in progress, or not started?
What is the confirmed or quoted tenant provisioning date, and what does the 12-week schedule assume for it?
Who signs the DFARS/ITAR eligibility attestation and the GCC High terms on WMP's behalf?
Is the tenant already created (the design names WMPADMIN@wisconsinmetalparts.com and two break-glass accounts) or is that still forward-looking?</t>
  </si>
  <si>
    <t xml:space="preserve">Overview / Scope; new "Assumptions &amp; Dependencies"</t>
  </si>
  <si>
    <t xml:space="preserve">Essendis + WMP</t>
  </si>
  <si>
    <t xml:space="preserve">G-03</t>
  </si>
  <si>
    <t xml:space="preserve">Azure infrastructure was removed from scope, but the document still depends on Azure in several places: break-glass alerting via "Log Analytics in Azure", CA policy 5 (Azure Management / Azure Portal), PIM covering "Azure resources" and Azure RBAC Owner/Contributor, and Deployment phase 1 "Define Azure RBAC model". The Scope section is a single sentence with no exclusions or assumptions.</t>
  </si>
  <si>
    <t xml:space="preserve">A design that silently assumes an Azure subscription produces configuration tasks that cannot be executed and controls that cannot be evidenced; a scope section without exclusions invites change-order disputes later.</t>
  </si>
  <si>
    <t xml:space="preserve">Is there any Azure Government subscription at all in the WMP estate — today or planned — or is the environment strictly M365 GCC High?
If there is none: should CA policy 5, the Azure RBAC references in PIM, and Deployment phase 1's Azure RBAC task be removed or reworded to Entra-only?
Should the Scope section carry an explicit out-of-scope list (Azure IaaS/PaaS, on-prem network and boundary devices, ERP, physical security, SSP authorship) and a dependencies list?
Who owns any Azure-dependent control that survives — WMP, Essendis, or the RPO?</t>
  </si>
  <si>
    <t xml:space="preserve">Known: Azure infrastructure was removed from scope; this is an M365-only design. The residual Azure references are leftovers from the prior revision and need to be removed or replaced with M365-native equivalents.</t>
  </si>
  <si>
    <t xml:space="preserve">Scope; Baseline Security &gt; Emergency Accounts; CA policy 5; Deployment Approach 1</t>
  </si>
  <si>
    <t xml:space="preserve">G-04</t>
  </si>
  <si>
    <t xml:space="preserve">Migration schedule is undefined: cutover dates are listed as "TBD", the stated duration ("approximately 12 weeks... wrap up around first week of May") does not reconcile with the 8/24/2026 issue date, and the wave/batch plan that WBS 5.2.1 expects to take "from SDD" does not exist in the document.</t>
  </si>
  <si>
    <t xml:space="preserve">WBS 5.2.1 cannot start without batch definitions, and CallTower porting, DNS cutover, and device migration waves are all sequenced off dates that do not exist.</t>
  </si>
  <si>
    <t xml:space="preserve">What is the target go-live/cutover weekend, and what constraints set it (fiscal calendar, plant shutdown, contract deliverables, month-end in the ERP)?
Is the "first week of May" statement still valid relative to an 8/24/2026 start, or is it stale text from an earlier revision?
How are the ~150 users batched — by site, by department, or by CUI exposure — and who is in the 5–10 user pilot batch (WBS 5.2.2)?
How many cutover weekends are assumed, and is a single big-bang DNS/mail cutover accepted while user waves run over several weeks?
Which dates are hard-committed to CallTower for porting and to WMP's users in the communications plan?</t>
  </si>
  <si>
    <t xml:space="preserve">Migration Design &gt; Schedule; new "Migration Waves" subsection</t>
  </si>
  <si>
    <t xml:space="preserve">G-05</t>
  </si>
  <si>
    <t xml:space="preserve">End state of the source Microsoft 365 Commercial tenant is undefined — the design ends at cutover and never says what happens to the commercial tenant or the CUI left in it.</t>
  </si>
  <si>
    <t xml:space="preserve">CUI remaining in a commercial (non-GCC High) tenant after cutover is a scoping and spillage problem for the CMMC assessment, and an unmanaged tenant retains an authentication surface for 150 identities.</t>
  </si>
  <si>
    <t xml:space="preserve">How long is the commercial tenant retained after cutover, and in what state (licences reduced, sign-in blocked, read-only)?
Who confirms that all CUI has been removed from the commercial tenant, and what evidence is produced?
Is the commercial tenant deleted, and if so, when — and does anything (Power BI, Bookings, third-party apps, historical audit logs) need to be exported first?
What happens to the commercial tenant's audit log history, which may be required to evidence pre-migration activity?
Does the commercial tenant remain in, or explicitly out of, the CMMC assessment boundary during the overlap?</t>
  </si>
  <si>
    <t xml:space="preserve">Migration Design &gt; new "Source Tenant Decommission" subsection</t>
  </si>
  <si>
    <t xml:space="preserve">G-06</t>
  </si>
  <si>
    <t xml:space="preserve">No licensing design exists. The document names "Teams Phone licensing" only; the GCC High SKU set (M365 G3 vs G5), the security add-ons the design depends on, and the third-party tool licences are all undefined.</t>
  </si>
  <si>
    <t xml:space="preserve">Half the controls in this design are SKU-dependent (PIM, risk policies, Defender for Endpoint, Purview labelling/DLP, audit retention); costing and configuration both stall until the SKU is fixed.</t>
  </si>
  <si>
    <t xml:space="preserve">Which base SKU — Microsoft 365 G3 or G5 (GCC High) — and for all 150 users or a mixed model (F-SKU for shop-floor users)?
Which add-ons are purchased: Entra ID P2, Defender for Endpoint (P1 or P2), Defender for Office 365 (P1 or P2), Intune Plan 1/2, Purview Audit Premium, Microsoft 365 Backup?
Who buys and owns the AvePoint Fly licences, the ForensIT User Profile Wizard licence, and the CallTower seats — WMP directly or through Essendis?
How long do commercial-tenant licences run in parallel with GCC High, and is that overlap budgeted?
Are licences assigned by group-based licensing, and which groups drive them?</t>
  </si>
  <si>
    <t xml:space="preserve">New section: M365 Design &gt; Licensing</t>
  </si>
  <si>
    <t xml:space="preserve">G-07</t>
  </si>
  <si>
    <t xml:space="preserve">Entra ID P1 vs P2 is unresolved in the document — CA policy 7 says "Requires Entra ID P2" and policy 8 is titled "If P2". The dependency is broader than those two policies: PIM (used in two sections and Deployment phase 1) and access reviews also require P2.</t>
  </si>
  <si>
    <t xml:space="preserve">If only P1 is purchased, three commitments in the design collapse at once: risk-based CA, PIM just-in-time elevation, and access reviews — all of which the RPO is likely to map to AC.L2-3.1.5/3.1.7 evidence.</t>
  </si>
  <si>
    <t xml:space="preserve">Is Entra ID P2 included in the chosen G-SKU, purchased as an add-on, or not purchased?
If P2 is not purchased, what replaces PIM for privileged access control, and what replaces access reviews as the periodic review evidence?
If P2 is purchased for a subset of users only, which users — and does the design's "All users" assignment on policies 7 and 8 then still hold?
Does the RPO's control mapping assume risk-based conditional access and PIM?</t>
  </si>
  <si>
    <t xml:space="preserve">Baseline Security &gt; Conditional Access (policies 7 and 8); PIM sections</t>
  </si>
  <si>
    <t xml:space="preserve">G-08</t>
  </si>
  <si>
    <t xml:space="preserve">No Entra ID Connect design. The document asserts password hash synchronisation, Seamless SSO, and (in the decommission section) that "Entra ID Connect remains in place", but never defines sync topology — and never addresses that the same on-premises AD currently synchronises to the commercial tenant.</t>
  </si>
  <si>
    <t xml:space="preserve">An AD object can synchronise to only one tenant; re-pointing or rebuilding sync for ~150 users is the pivot point of the whole migration and is currently undescribed. Appendix A also documents the Entra cloud password policy while synchronised users are actually governed by the on-premises AD policy.</t>
  </si>
  <si>
    <t xml:space="preserve">Is Entra Connect re-pointed from the commercial tenant to GCC High, or is a second sync server built — and what is the sequence relative to user waves?
How are GCC High objects matched to the source-tenant mailboxes (sourceAnchor/ms-DS-ConsistencyGuid, immutableID, UPN) so migrated mail lands on the right identity?
What is the sync scope — which OUs, which object types, group writeback, device writeback, SSPR password writeback — and is filtering by OU or by attribute?
Which sign-in method is final: PHS alone, or PHS plus Seamless SSO (which only benefits domain-joined devices that WBS 7 is retiring)?
Which password policy actually governs users — on-premises AD or the Appendix A Entra policy — and does the AD policy meet CMMC IA.L2-3.5.7/3.5.8? (The Appendix note about "Entra ID Domain Services" appears to be an error.)
Is there a staging server, and what is the break-fix/failback plan if sync stops during migration?</t>
  </si>
  <si>
    <t xml:space="preserve">New section: M365 Design &gt; Hybrid Identity (Entra ID Connect); Appendix A</t>
  </si>
  <si>
    <t xml:space="preserve">G-09</t>
  </si>
  <si>
    <t xml:space="preserve">The device join model contradicts itself. CA policy 3 is "Require Compliant or Hybrid-Joined Device" and Baseline Security specifies Seamless SSO (an on-premises-domain feature), while WBS 7 disjoins every Windows endpoint from AD, Entra-ID-joins it, and retires GPO.</t>
  </si>
  <si>
    <t xml:space="preserve">Join type determines Conditional Access grant wording, how devices authenticate to on-premises resources, and whether GPO or Intune is authoritative — shipping both models guarantees a lockout or an unmanaged fleet at go-live.</t>
  </si>
  <si>
    <t xml:space="preserve">Is the end state Entra ID join (cloud-only, per WBS 7) or Entra hybrid join — and is hybrid join even the intent given GPO retirement?
If Entra ID join is the answer, should CA policy 3's grant be simplified to "require compliant device", and should the Seamless SSO section be removed?
During the migration window, will both join states coexist — and does the CA device grant tolerate that?
WBS 1.3.2 records "hybrid join confirmed feasible; departure from prior vendor guidance" — is that still the agreed position, or has it been superseded by the Modern Workspace approach?</t>
  </si>
  <si>
    <t xml:space="preserve">Known from WBS sheet 7: all Windows endpoints are disjoined from AD, Entra ID joined, auto-enrolled in Intune, and GPOs are retired. The design text predates this and should be aligned to a cloud-native join model.</t>
  </si>
  <si>
    <t xml:space="preserve">Baseline Security &gt; Single Sign-On; CA policy 3; Deployment Approach 5</t>
  </si>
  <si>
    <t xml:space="preserve">G-10</t>
  </si>
  <si>
    <t xml:space="preserve">No statement of what remains on-premises after Exchange decommission and GPO retirement. The decommission section keeps Active Directory and Entra Connect alive, but nothing defines AD's residual purpose, its hosting, or whether it sits inside the CMMC assessment boundary.</t>
  </si>
  <si>
    <t xml:space="preserve">Domain controllers that issue the credentials used to reach CUI are almost always in scope for CMMC; leaving AD undefined leaves a security-relevant asset unassessed and unhardened.</t>
  </si>
  <si>
    <t xml:space="preserve">After Exchange is removed and devices are Entra-joined, what is AD still doing — identity source for sync, file/print authentication, ERP authentication, or all three?
Are the domain controllers in the CMMC assessment boundary, and who hardens and evidences them (they are not in Essendis's M365-only scope)?
Is eventual AD retirement (cloud-only identity) a goal, and if so what is blocking it?
Which on-premises servers remain (DCs, file server, ERP, Entra Connect host), where are they, and who patches and monitors them?</t>
  </si>
  <si>
    <t xml:space="preserve">New section: Assumptions &amp; Dependencies; Migration Design &gt; Exchange Decommission</t>
  </si>
  <si>
    <t xml:space="preserve">G-11</t>
  </si>
  <si>
    <t xml:space="preserve">Authentication method design is contradictory and incomplete: the document states "All users will use the Microsoft Authenticator app", while CA policies 2 and 4 call for phishing-resistant authentication strength for admins. No method is defined for users without a corporate phone, and Windows Hello for Business, FIDO2, and Temporary Access Pass are not mentioned.</t>
  </si>
  <si>
    <t xml:space="preserve">Authenticator push is not phishing-resistant, so the admin policy as written cannot be satisfied; and NIST SP 800-171 3.5.3 requires MFA for local as well as network access to privileged accounts — which shop-floor workstations cannot meet with a phone-only method.</t>
  </si>
  <si>
    <t xml:space="preserve">Which authentication strength applies to admins, and by which method — passkey in Authenticator, FIDO2 security keys, or certificate-based authentication?
How do shop-floor and production users authenticate if they carry no corporate phone — FIDO2 keys, Windows Hello for Business, or an issued device?
Is Windows Hello for Business enabled on Entra-joined endpoints, in which trust model, and who funds/distributes any hardware keys?
How do 150 users register credentials before cutover — Temporary Access Pass, a registration-only CA policy, or supervised on-site registration at each of the three sites?
Is number matching / passwordless rollout in scope, and is SMS/voice explicitly disallowed?</t>
  </si>
  <si>
    <t xml:space="preserve">Baseline Security &gt; Multi-Factor Authentication; new "Authentication Methods" subsection</t>
  </si>
  <si>
    <t xml:space="preserve">G-12</t>
  </si>
  <si>
    <t xml:space="preserve">No account lifecycle (joiner/mover/leaver) design. The document defines UPN format and group naming but not how accounts are created, licensed, moved, or disabled — and WBS 5.6.5 commits to delivering exactly these admin procedures.</t>
  </si>
  <si>
    <t xml:space="preserve">CMMC AC.L2-3.1.1 and the AC/IA family require provisioning and timely removal of access; without a defined process the evidence is anecdotal, and orphaned accounts survive audits badly.</t>
  </si>
  <si>
    <t xml:space="preserve">Are accounts created in on-premises AD and synchronised, or created cloud-only in GCC High — and by whom?
What is the leaver process: licence removal, mailbox conversion to shared, OneDrive ownership transfer, device wipe, and within what SLA?
Is licensing assigned by group-based licensing, and which security groups drive licences, CA policy scoping, and Intune assignment?
Who approves new accounts and role changes, and where is that approval recorded for evidence?
Are there non-employee identities (contractors, temps, interns) and how do they differ?</t>
  </si>
  <si>
    <t xml:space="preserve">New section: M365 Design &gt; Identity Lifecycle; As-Configured admin procedures</t>
  </si>
  <si>
    <t xml:space="preserve">G-13</t>
  </si>
  <si>
    <t xml:space="preserve">Administrative role model is stated in principle only — "built-in roles ... rather than an excess of Global Admins" — with no named assignments, no PIM eligibility list, no approvers, and no statement of the US-person restriction that applies to GCC High administration.</t>
  </si>
  <si>
    <t xml:space="preserve">PIM cannot be configured without eligible-assignee and approver lists, and GCC High administrative access by non-US persons is an ITAR/DFARS exposure for both WMP and Essendis.</t>
  </si>
  <si>
    <t xml:space="preserve">Who at WMP holds which admin role, and how many Global Administrators are intended (target: two to four, PIM-eligible)?
Which roles are PIM-eligible versus permanently assigned, what activation duration applies, and who approves activation for Global Administrator?
Are separate admin accounts (admin.&lt;name&gt;) created and excluded from licensing/mail, per WBS 2.7.2?
Which Essendis staff hold administrative access during and after the project, are they US persons, and is that attested in writing?
What happens to admin access at handoff — removed, reduced to break-glass, or retained under a support agreement?</t>
  </si>
  <si>
    <t xml:space="preserve">Baseline Security &gt; RBAC and PIM; Operations &amp; Support</t>
  </si>
  <si>
    <t xml:space="preserve">G-14</t>
  </si>
  <si>
    <t xml:space="preserve">Nine CA policies are specified but the rollout method is not: no report-only staging, no pilot group, no exclusion model beyond break-glass, and no service-account handling. Deployment phase 1 also says to configure "security defaults", which cannot coexist with Conditional Access.</t>
  </si>
  <si>
    <t xml:space="preserve">WBS 2.2.6 requires report-only testing specifically to prevent lockout; and a "require compliant device" policy applied tenant-wide will block the AvePoint Fly service principals and any unattended service identity on day one of migration.</t>
  </si>
  <si>
    <t xml:space="preserve">Are all policies deployed in report-only first, for how long, and what evidence closes that stage?
Which identities are excluded and why — break-glass only, or also migration service accounts, AvePoint Fly app registrations, CallTower resource accounts, and room/resource accounts?
How does AvePoint Fly authenticate to both tenants, and does any CA policy block it?
Deployment phase 1 says "security defaults" — confirm security defaults are disabled, since CA policies are the chosen mechanism.
Who is in the pilot group, and what is the rollback procedure if a policy locks users out mid-migration?</t>
  </si>
  <si>
    <t xml:space="preserve">Baseline Security &gt; Conditional Access; Deployment Approach 1</t>
  </si>
  <si>
    <t xml:space="preserve">G-15</t>
  </si>
  <si>
    <t xml:space="preserve">Named locations are named but not defined: the document lists "WMP HQ" and "Tool Crib" — two entries for a company with three physical locations — and gives no IP ranges, no egress detail, and no VPN posture.</t>
  </si>
  <si>
    <t xml:space="preserve">Location-based CA policies cannot be built without public egress addresses, and a missing third site means users at that site fall into whatever the catch-all policy does.</t>
  </si>
  <si>
    <t xml:space="preserve">What are the public egress IP ranges (v4 and v6) for each of the three sites, and are they static?
Is "Tool Crib" a distinct site or an area within one — and what is the third location's name?
Is there a VPN or SD-WAN that changes egress, and do remote users egress through a site?
What are named locations actually used for here — trusted-location MFA reduction, admin restriction, or reporting only?
Do any machines, kiosks, or MFPs sign in from a separate network segment that needs its own named location?</t>
  </si>
  <si>
    <t xml:space="preserve">Baseline Security &gt; Locations (Named locations)</t>
  </si>
  <si>
    <t xml:space="preserve">WMP</t>
  </si>
  <si>
    <t xml:space="preserve">G-16</t>
  </si>
  <si>
    <t xml:space="preserve">The Locations section references a Conditional Access policy named "Geo Block (non-US)" and says to see the Conditional Access section — but no such policy exists in the nine defined policies.</t>
  </si>
  <si>
    <t xml:space="preserve">A referenced-but-undefined policy means the country block either does not get built or gets built without agreed settings; blocking every country other than the US has real operational consequences that were never reviewed.</t>
  </si>
  <si>
    <t xml:space="preserve">Should a geo-block policy be added as policy 10, and is the intent block-all-except-US at sign-in?
Do any users travel internationally, and how are exceptions granted and time-boxed?
Do primes, suppliers, or CallTower support staff need to sign in from outside the US?
Does the block apply to all cloud apps including mobile, and how does it interact with the break-glass exclusion?
Is IPv6 and mobile-carrier geolocation accuracy accepted as a risk (false positives on cellular)?</t>
  </si>
  <si>
    <t xml:space="preserve">Baseline Security &gt; Conditional Access (new policy 10); Locations</t>
  </si>
  <si>
    <t xml:space="preserve">G-17</t>
  </si>
  <si>
    <t xml:space="preserve">The Terms of Use / CUI warning in Appendix B is written but never wired to anything — no Conditional Access policy grants on Terms of Use acceptance, and the Entra ID section cross-references it to "Appendix A", which is the password matrix.</t>
  </si>
  <si>
    <t xml:space="preserve">A CUI acknowledgement that is never presented produces no evidence for the awareness and acceptable-use expectations the assessor will look for, and the contact details in the text are still placeholders.</t>
  </si>
  <si>
    <t xml:space="preserve">Is the Terms of Use delivered through Entra ID Terms of Use with a Conditional Access grant, and does it apply to all users or admins only?
What is the re-acceptance frequency (annual, on change) and is per-device acceptance required?
Who owns the wording — has WMP legal reviewed it, and does it need to match the DoD CUI banner language?
Which SOC email address and phone number replace the "[To-Be-Determined]" placeholders in Appendix B?
Should the Entra ID section's cross-reference be corrected from Appendix A to Appendix B?</t>
  </si>
  <si>
    <t xml:space="preserve">Entra ID &gt; Terms of Use &amp; CUI Warning; Appendix B; new CA policy</t>
  </si>
  <si>
    <t xml:space="preserve">G-18</t>
  </si>
  <si>
    <t xml:space="preserve">Application and device mail flow has no design. The decommission gate requires printers, scanners, and ERP relay to be redirected to Exchange Online, but no relay method is defined — and the document already flags that the SPF record and the outbound disclaimer wording are unfinished.</t>
  </si>
  <si>
    <t xml:space="preserve">This is a hard gate on WBS 9.1.5: on-premises Exchange cannot be removed until every relay client is redirected, and in GCC High the relay options (connector with certificate/IP, direct send, SMTP AUTH) each carry different prerequisites.</t>
  </si>
  <si>
    <t xml:space="preserve">Which devices and applications send mail today — MFPs/scanners, ERP/MRP, quoting and shipping systems, alarm and monitoring systems, payroll, marketing platforms?
Which relay method is chosen per client: authenticated SMTP submission, an inbound connector restricted by IP/certificate, or direct send — and do the devices support TLS 1.2 and modern auth?
Does any device only support basic authentication or unencrypted SMTP, and is device replacement or an on-premises relay host in scope?
What is the final SPF record once all senders are known, and are any third-party senders included?
What is the approved CUI disclaimer wording from WMP legal, and which domains sit on the "External" banner allow list?</t>
  </si>
  <si>
    <t xml:space="preserve">Exchange Online &gt; new "Application Mail Flow / SMTP Relay"; Email Authentication</t>
  </si>
  <si>
    <t xml:space="preserve">G-19</t>
  </si>
  <si>
    <t xml:space="preserve">Defender for Office 365 coverage is partial: the design defines Safe Attachments, anti-phishing, anti-malware, and anti-spam for email, but never mentions Safe Links (WBS 2.5.2) or Safe Attachments for SharePoint, OneDrive, and Teams (WBS 2.5.3). The quarantine model is described only in passing (admin-only release, 14-day retention) with no notification recipients or user-release position.</t>
  </si>
  <si>
    <t xml:space="preserve">Safe Links is the control that covers weaponised URLs in mail and Teams; leaving it undefined leaves a gap the WBS has already committed to closing under CMMC SI.L2-3.14.2.</t>
  </si>
  <si>
    <t xml:space="preserve">Are Safe Links policies deployed for email, Teams, and Office client apps — and with URL rewriting and "do not allow click-through" enabled?
Is Safe Attachments for SharePoint/OneDrive/Teams enabled, and what happens to a file flagged after upload?
Are preset security policies (Standard/Strict) used, or fully custom policies — and which takes precedence?
Can users see and release their own quarantined mail, or is release admin-only (the design currently says admin-only for Safe Attachments)?
Who receives quarantine and detection notifications, and is that mailbox monitored?</t>
  </si>
  <si>
    <t xml:space="preserve">Exchange Online &gt; Safe Attachments / new "Safe Links"</t>
  </si>
  <si>
    <t xml:space="preserve">G-20</t>
  </si>
  <si>
    <t xml:space="preserve">Room and resource mailboxes are undefined. The migration section lists user mailboxes, shared mailboxes, distribution lists, and groups — but not rooms, while the decommission gate and WBS 5.2.5 both assume room resource accounts exist and are recreated rather than migrated.</t>
  </si>
  <si>
    <t xml:space="preserve">Room mailboxes recreated rather than migrated lose their booking history and delegates, and any Teams Room or conference device tied to them needs its own licence and GCC High validation.</t>
  </si>
  <si>
    <t xml:space="preserve">How many room and equipment mailboxes exist, and what are their names, capacities, and booking policies?
Are booking delegates, auto-accept behaviour, and calendar processing settings documented so they can be rebuilt?
Are there Microsoft Teams Rooms devices or third-party conference systems in any of the three sites, and are those models supported in GCC High?
Is existing room calendar history required post-migration, or is a clean rebuild acceptable to WMP?</t>
  </si>
  <si>
    <t xml:space="preserve">Known from WBS 5.2.5: room resource accounts are recreated in GCC High rather than migrated. The count is still recorded as TBD in WBS 1.1.2.</t>
  </si>
  <si>
    <t xml:space="preserve">Exchange Online; Migration Design &gt; Email</t>
  </si>
  <si>
    <t xml:space="preserve">G-21</t>
  </si>
  <si>
    <t xml:space="preserve">How WMP collaborates with the outside world after go-live is undefined. External sharing is disabled in SharePoint and OneDrive, Teams guest access is off, external access is limited to "specific external domains" that are never listed, and CA policy 6 targets "Contractors" — a population that appears nowhere else. Encrypted email to external parties is also undefined.</t>
  </si>
  <si>
    <t xml:space="preserve">WMP is a subcontractor: it must exchange drawings, quotes, and CUI with primes and the DoD daily. Shipping a tenant with every external path closed and no approved alternative creates immediate shadow IT, and GCC High-to-commercial federation is materially restricted.</t>
  </si>
  <si>
    <t xml:space="preserve">Which external domains are on the Teams external access allow list — primes, suppliers, CallTower, Essendis, the RPO?
How are CUI files exchanged with primes today (email, prime's portal, SFTP, DoD SAFE), and which of those is the sanctioned path afterwards?
Is Microsoft Purview Message Encryption (WBS 2.4.3) deployed for outbound CUI email, and how do external recipients open it?
Does a contractor or guest population actually exist? If not, should CA policy 6 be removed; if yes, is Defender for Cloud Apps licensed and available in GCC High for session control?
Who approves an external sharing exception, and how is it recorded for the evidence package?</t>
  </si>
  <si>
    <t xml:space="preserve">SharePoint &gt; External Sharing; Teams &gt; External and Guest Access; CA policy 6</t>
  </si>
  <si>
    <t xml:space="preserve">G-22</t>
  </si>
  <si>
    <t xml:space="preserve">Site and team provisioning governance is missing, and the SharePoint section twice says "see the appendix for a list of sites that will be migrated" — there is no such appendix (the document contains only Appendix A, password matrix, and Appendix B, terms of use).</t>
  </si>
  <si>
    <t xml:space="preserve">WBS 5.4.1 needs a source-to-destination site map before migration can be configured, and unrestricted team/site creation is how CUI sprawls into ungoverned locations.</t>
  </si>
  <si>
    <t xml:space="preserve">What is the actual list of SharePoint sites and Teams to migrate, with owners and destination names?
Should the missing site inventory be added as a new appendix, or referenced as a separate migration workbook?
Who can create Teams and M365 Groups after go-live — all users or a restricted group?
Is there a group expiration/archival policy, and who handles ownerless groups?
What naming standard applies to sites and teams, and is a hub structure needed for the three sites?</t>
  </si>
  <si>
    <t xml:space="preserve">Known bounds from the WBS: up to 5 SharePoint sites (1.1.6, 5.4.3), 15–20 shared mailboxes (1.1.2), light Teams adoption (1.1.5). The named inventory is still outstanding.</t>
  </si>
  <si>
    <t xml:space="preserve">SharePoint &gt; Site Provisioning; new appendix</t>
  </si>
  <si>
    <t xml:space="preserve">G-23</t>
  </si>
  <si>
    <t xml:space="preserve">OneDrive client configuration is thin and one setting is incompatible with the target state: the design restricts sync to "PCs joined to specific domains", which relies on an AD domain GUID — but WBS 7 removes those endpoints from the domain. Known Folder Move and storage quotas (WBS 3.4.1/3.4.3) are not addressed at all.</t>
  </si>
  <si>
    <t xml:space="preserve">A domain-based sync restriction silently stops applying once devices are Entra-joined, quietly removing the control; and Known Folder Move is the difference between user data being protected or being lost during ForensIT profile conversion.</t>
  </si>
  <si>
    <t xml:space="preserve">Which sync restriction replaces the domain-GUID method for Entra-joined devices — restrict by tenant ID (allow-list the GCC High tenant) or block sync on unmanaged devices?
Is Known Folder Move (Desktop, Documents, Pictures) enabled, silently or user-prompted, and before or after device migration?
What OneDrive storage quota applies per user, and is it enough for the redirected folders?
Are file types or sizes excluded from sync, and is Files On-Demand enforced?
How does the 7-year leaver retention actually work — who takes ownership of the OneDrive and where is that recorded?</t>
  </si>
  <si>
    <t xml:space="preserve">OneDrive &gt; Sync Client Domain Restriction, Storage and Retention</t>
  </si>
  <si>
    <t xml:space="preserve">G-24</t>
  </si>
  <si>
    <t xml:space="preserve">There is no Windows endpoint configuration design. The MDM section covers iOS and Android and defers Windows in one sentence to "the Intune configuration workstream", while WBS 4.3 enumerates ten Windows profiles (BitLocker, Defender AV, firewall, application control, lockout, audit policy, screen lock, update rings, health attestation) with no design-level settings behind any of them.</t>
  </si>
  <si>
    <t xml:space="preserve">These profiles carry most of the endpoint CMMC evidence (MP.L2-3.8.x, SC.L2-3.13.11/3.13.16, AU.L2-3.3.1, AC.L2-3.1.10, SI.L2-3.14.1); WBS 4.6.2 pilot validation cannot be executed against settings nobody has written down.</t>
  </si>
  <si>
    <t xml:space="preserve">What are the actual settings per profile — BitLocker method and cipher strength, Defender AV exclusions, firewall rules per profile, audit policy subcategories, screen-lock timeout?
Where do BitLocker recovery keys escrow, and who can read them (WBS 7.2.5 requires Entra escrow as CMMC evidence)?
Is removable media (USB) blocked or read-only, as CMMC MP.L2-3.8.7/3.8.8 expects at a manufacturer?
Which Windows Update ring configuration applies — deferral days, deadline, active hours — and what maintenance window suits a shop that may run multiple shifts?
Is device health attestation (Secure Boot, TPM 2.0) required for compliance, and what happens to devices that fail it?
How are these profiles scoped — all devices, or by site/role — and what is the pilot ring?</t>
  </si>
  <si>
    <t xml:space="preserve">G-25</t>
  </si>
  <si>
    <t xml:space="preserve">Windows provisioning is unresolved. WBS 4.1.2 configures a "Windows Autopilot enrollment profile" and WBS 7.1.5 registers Autopilot hardware hashes — but classic Windows Autopilot is not offered in GCC High; only Autopilot device preparation is. The design says nothing about how new or rebuilt devices are provisioned.</t>
  </si>
  <si>
    <t xml:space="preserve">Two WBS tasks are written against a capability the target cloud does not provide, and without a provisioning path every replacement machine gets built by hand — outside the baseline, outside the evidence.</t>
  </si>
  <si>
    <t xml:space="preserve">Confirm with Microsoft what Autopilot capability the GCC High tenant actually exposes today, and re-plan WBS 4.1.2 and 7.1.5 accordingly.
How are brand-new devices provisioned — Autopilot device preparation, a provisioning package, or manual Entra join plus Intune enrolment?
Who registers device hardware IDs, and is the OEM/reseller able to do it for a GCC High tenant?
What is the provisioning path for a device that must be rebuilt after go-live (failed disk, employee change)?
Is a standard image or a bare Windows 11 install plus Intune the agreed model?</t>
  </si>
  <si>
    <t xml:space="preserve">Correction to record in the design: classic Windows Autopilot is not available in GCC High — Autopilot device preparation is the available path. The existing fleet is converted in place with ForensIT (WBS 7.2), so Autopilot applies only to net-new and rebuilt devices.</t>
  </si>
  <si>
    <t xml:space="preserve">New section: Endpoint Configuration (Windows) &gt; Provisioning</t>
  </si>
  <si>
    <t xml:space="preserve">G-26</t>
  </si>
  <si>
    <t xml:space="preserve">Local administrator rights and Windows LAPS are not addressed anywhere in the design or the WBS. Once devices leave the domain, the existing local-admin and local-account posture changes and nothing replaces it.</t>
  </si>
  <si>
    <t xml:space="preserve">CMMC AC.L2-3.1.5/3.1.6/3.1.7 (least privilege, non-privileged accounts for non-security functions, preventing privileged function execution) is directly at stake, and Entra-joined devices grant local admin to the first-signed-in user by default unless configured otherwise.</t>
  </si>
  <si>
    <t xml:space="preserve">Do end users hold local administrator rights today, and will they after migration?
Is Windows LAPS deployed to rotate and escrow the local administrator password to Entra ID?
Which Entra roles or groups are added to the local Administrators group on Entra-joined devices, and is the default "device joiner is admin" behaviour suppressed?
How do engineering or shop-floor users install approved software without standing admin rights — Company Portal, or an elevation exception process?
Are there legacy applications that require admin rights to run, and how are they handled?</t>
  </si>
  <si>
    <t xml:space="preserve">New section: Endpoint Configuration (Windows) &gt; Privileged Access on Endpoints</t>
  </si>
  <si>
    <t xml:space="preserve">G-27</t>
  </si>
  <si>
    <t xml:space="preserve">Application control is committed to in WBS 4.3.5 (AppLocker/WDAC, CMMC CM.2.061) but has no design, no policy model, and no application inventory behind it.</t>
  </si>
  <si>
    <t xml:space="preserve">Application allow-listing is the hardest endpoint control to retrofit at a manufacturer — CAD/CAM, machine-tool and inspection software, and vendor utilities all break under a naive policy — yet CMMC CM.L2-3.4.8/3.4.9 expects it.</t>
  </si>
  <si>
    <t xml:space="preserve">Is application control in scope for go-live, or deferred to a POA&amp;M item with the RPO?
AppLocker or WDAC, and in audit mode or enforcement at go-live?
What is the approved software inventory — CAD/CAM, ERP client, inspection and machine-tool software, engineering utilities — and who owns it?
How are new applications approved and added, and within what SLA?
How long does the audit-mode observation period run before enforcement?</t>
  </si>
  <si>
    <t xml:space="preserve">New section: Endpoint Configuration (Windows) &gt; Application Control</t>
  </si>
  <si>
    <t xml:space="preserve">G-28</t>
  </si>
  <si>
    <t xml:space="preserve">Microsoft Defender for Endpoint appears only in the WBS (2.5.5, "confirm licensing") and never in the design — no plan selection, no onboarding method, no alert routing, no coverage decision for servers.</t>
  </si>
  <si>
    <t xml:space="preserve">Defender for Endpoint is the EDR evidence for CMMC SI.L2-3.14.2/3.14.6 and the source of the device risk signal; without it the Intune compliance policy has no threat-level input and nobody receives the alerts.</t>
  </si>
  <si>
    <t xml:space="preserve">Which plan is licensed — Defender for Business, Defender for Endpoint P1, or P2 — and is it included in the chosen G-SKU?
How are devices onboarded (Intune connector) and is the Intune-Defender connector configured for compliance risk-level input?
Is EDR in block mode, attack surface reduction, and tamper protection enabled, and at what enforcement level?
Do the on-premises servers (domain controllers, file server, ERP host) get Defender for Endpoint, and who licenses them?
Who receives and triages Defender alerts after handoff, and to what response SLA?</t>
  </si>
  <si>
    <t xml:space="preserve">New section: Endpoint Configuration (Windows) &gt; Endpoint Detection and Response</t>
  </si>
  <si>
    <t xml:space="preserve">G-29</t>
  </si>
  <si>
    <t xml:space="preserve">Group Policy is never mentioned in the design, yet WBS 4.2 requires a full GPO export, a GPO-to-Intune equivalence mapping, and a documented list of settings that cannot be replicated — and WBS 7.3 retires GPO entirely.</t>
  </si>
  <si>
    <t xml:space="preserve">Every setting that silently disappears when GPO is unlinked (drive maps, printer deployment, proxy, security options, software installs) becomes an unplanned outage or an unevidenced control gap.</t>
  </si>
  <si>
    <t xml:space="preserve">Can WMP produce a full GPO export (HTML/XML) for all OUs applied to in-scope devices and users?
Which GPO settings have no Intune equivalent, and what is the decision for each — accept, replace, or POA&amp;M?
Which GPOs deliver drive mappings, printer connections, proxy settings, or scheduled tasks that users depend on daily?
Are there GPO-deployed certificates, Wi-Fi profiles, or software installations that must be re-delivered by Intune?
Who signs off that Intune is fully applied before GPOs are unlinked (WBS 7.3.1)?</t>
  </si>
  <si>
    <t xml:space="preserve">Known from WBS 4.2: the gap analysis, equivalence mapping, and exceptions list are already committed deliverables, with exceptions flagged for customer decision and POA&amp;M.</t>
  </si>
  <si>
    <t xml:space="preserve">New section: Endpoint Configuration (Windows) &gt; GPO Replacement</t>
  </si>
  <si>
    <t xml:space="preserve">G-30</t>
  </si>
  <si>
    <t xml:space="preserve">Certificate and network-access dependencies are undefined. The mobile sections promise configuration profiles delivering "Wi-Fi, email, and VPN settings where required" with no authentication method or certificate source, and nothing at all covers Windows 802.1X once devices leave the domain.</t>
  </si>
  <si>
    <t xml:space="preserve">If corporate Wi-Fi uses 802.1X with machine certificates issued by AD auto-enrolment, every Entra-joined device loses network access at the moment of migration — and issuing certificates from Intune requires a SCEP/PKCS connector and a PKI that is not in scope anywhere.</t>
  </si>
  <si>
    <t xml:space="preserve">How does corporate Wi-Fi authenticate today — PSK, 802.1X with certificates, or 802.1X with credentials — at each of the three sites?
Is there an on-premises PKI (AD Certificate Services), and will it stay to issue device certificates through an Intune SCEP or PKCS connector?
If certificate-based Wi-Fi cannot be delivered, is a move to PSK or a separate managed-device SSID acceptable?
Is there a VPN, which client, and does it need per-app or device-tunnel configuration and certificates?
Does the ERP or any line-of-business application require a client certificate today?</t>
  </si>
  <si>
    <t xml:space="preserve">New section: Endpoint Configuration &gt; Certificates and Network Access; MDM configuration profiles</t>
  </si>
  <si>
    <t xml:space="preserve">G-31</t>
  </si>
  <si>
    <t xml:space="preserve">Shared and kiosk workstations on the shop floor are not addressed. The design assumes one identity per user and a compliant personal device; a fabrication floor typically runs shared terminals for time clocks, drawings, work instructions, and machine-tool control.</t>
  </si>
  <si>
    <t xml:space="preserve">Shared credentials break individual accountability under CMMC AC.L2-3.1.1 and IA.L2-3.5.1/3.5.2, and shared machines interact badly with a "require compliant device" CA policy and with per-user OneDrive/Known Folder Move.</t>
  </si>
  <si>
    <t xml:space="preserve">Are there shared or kiosk workstations on the production floor, and how many at each site?
Do shop-floor users have individual accounts today, or are shared logins in use?
Do those terminals need M365 access at all — or only drawing/work-instruction viewing from an internal system?
If shared devices stay, what is the model: shared device mode, kiosk configuration, or fast user switching with individual credentials plus a hardware key or Hello?
Do any workstations run machine-tool or inspection software that pins them to an old Windows build?</t>
  </si>
  <si>
    <t xml:space="preserve">New section: Endpoint Configuration (Windows) &gt; Shared and Kiosk Devices</t>
  </si>
  <si>
    <t xml:space="preserve">G-32</t>
  </si>
  <si>
    <t xml:space="preserve">CA policy 3 asserts macOS as a managed device platform, but no macOS management, compliance policy, or enrolment path exists anywhere in the design or the WBS, and no Mac inventory has been taken.</t>
  </si>
  <si>
    <t xml:space="preserve">If any Mac exists, the compliant-device policy blocks it at go-live; if none exists, the policy is asserting a platform WMP does not manage — either way the assessor will ask.</t>
  </si>
  <si>
    <t xml:space="preserve">Are there any macOS devices in the estate (engineering, design, marketing) and how many?
Are there Linux workstations, iPads used as shop-floor terminals, or other non-Windows endpoints touching M365?
If Macs exist, are they enrolled in Intune with a compliance policy and FileVault, or excluded from M365 access?
Should macOS be removed from CA policy 3's platform list if no Macs are in scope?</t>
  </si>
  <si>
    <t xml:space="preserve">CA policy 3; MDM (Intune) scope statement</t>
  </si>
  <si>
    <t xml:space="preserve">G-33</t>
  </si>
  <si>
    <t xml:space="preserve">Mobile fleet inputs are outstanding: the design records device counts by platform as TBD, leaves the MAM-only access path as an explicitly open item, and does not define which applications beyond Outlook and Teams are deployed or what the loss/wipe process is.</t>
  </si>
  <si>
    <t xml:space="preserve">Rollout cannot be scheduled or licensed without counts, and "MAM-only if needed" left open means the enrolment restriction blocking personal devices may collide with a real business need at go-live.</t>
  </si>
  <si>
    <t xml:space="preserve">How many corporate iOS and Android devices exist, by platform and by site, and who owns the Apple Business Manager account (WBS 6.1.2)?
Is the MAM-only path used at all — and if so, for whom (executives, field staff, a prime's device) given the corporate-owned-only posture?
Which apps beyond Outlook and Teams are deployed — OneDrive, Edge, Authenticator, an ERP or shop-floor app?
What are the app protection settings: PIN complexity, save-as restrictions, backup, offline grace period, jailbreak/root response?
What is the lost/stolen process — who initiates a wipe, selective or full, and within what SLA — and how are devices refreshed and retired?</t>
  </si>
  <si>
    <t xml:space="preserve">MDM (Intune) &gt; Pilot Validation and Rollout; Compliance and Conditional Access</t>
  </si>
  <si>
    <t xml:space="preserve">G-34</t>
  </si>
  <si>
    <t xml:space="preserve">The telephony connectivity model is an open decision — Direct Routing and Operator Connect are both still on the table pending CallTower's GCC High confirmation.</t>
  </si>
  <si>
    <t xml:space="preserve">The model changes SBC ownership, the emergency-calling architecture, the porting method, and the tenant configuration tasks in WBS 8.2.2; nothing downstream can be built until it lands.</t>
  </si>
  <si>
    <t xml:space="preserve">Which models does CallTower actually support for GCC High tenants today, in writing?
What is the decision date, and what does the schedule assume if it slips?
If Direct Routing: which verified domain hosts the SBC FQDN, and who owns the SBC certificate lifecycle?
If Operator Connect: is CallTower listed as an operator for GCC High, and does number assignment appear in the Teams admin center?
What is the cost difference, and does either model change the CallTower contract?</t>
  </si>
  <si>
    <t xml:space="preserve">Teams Voice – CallTower Integration &gt; Connectivity Model</t>
  </si>
  <si>
    <t xml:space="preserve">Essendis + CallTower</t>
  </si>
  <si>
    <t xml:space="preserve">G-35</t>
  </si>
  <si>
    <t xml:space="preserve">The numbering inventory the design commits to producing does not yet exist, and the surrounding commercial facts are undefined: current carrier and contract, who signs the porting Letter of Agency, and which of the ~150 users actually receive a DID. The in-use call flows that WBS 8.2.6 will rebuild are equally unconfirmed.</t>
  </si>
  <si>
    <t xml:space="preserve">Porting cannot start without a signed LOA and an accurate service-address-matched number list; a mismatch or an unterminated carrier contract is the classic cause of a failed cutover weekend.</t>
  </si>
  <si>
    <t xml:space="preserve">Can WMP provide a current carrier bill or CSR listing every DID, main number, fax line, and service number?
Who is the incumbent carrier, when does the contract end, and are there early-termination charges?
Who is authorised to sign the porting LOA, and does the billing name and service address match the carrier record exactly?
Which users get a DID versus Teams calling with no number — do shop-floor users need phones at all?
Which auto attendants, call queues, hunt groups, after-hours routing, and reception/overflow behaviours are in use today and must be rebuilt (each needs a resource account and service number)?</t>
  </si>
  <si>
    <t xml:space="preserve">Teams Voice &gt; Numbering and Number Porting; Voice Features</t>
  </si>
  <si>
    <t xml:space="preserve">WMP + CallTower</t>
  </si>
  <si>
    <t xml:space="preserve">G-36</t>
  </si>
  <si>
    <t xml:space="preserve">Voice endpoints are not inventoried. The design covers users and calling features but never mentions physical or analog endpoints — at a fabrication shop that typically means overhead paging, fax lines, elevator and door phones, alarm and monitoring lines, and loud-environment handsets.</t>
  </si>
  <si>
    <t xml:space="preserve">Analog and paging endpoints have no native path in Teams Phone; discovering them after porting means either a failed cutover or an unplanned ATA/paging gateway purchase.</t>
  </si>
  <si>
    <t xml:space="preserve">Are there analog lines — fax, alarm, elevator, door/gate phone, fire panel, modem — and are those numbers in the porting list?
Is there overhead paging or an intercom on the production floor, and must Teams reach it (paging gateway or ATA)?
What handsets and headsets are in use, are they Teams-certified, and are common-area phones needed in the shop, break room, or lobby?
Are there conference room devices, and do they need Teams Rooms licences validated for GCC High?
Who buys replacement hardware, and is it in the project budget?</t>
  </si>
  <si>
    <t xml:space="preserve">Teams Voice &gt; new "Voice Endpoints" subsection</t>
  </si>
  <si>
    <t xml:space="preserve">G-37</t>
  </si>
  <si>
    <t xml:space="preserve">Emergency calling is defined at site level only. The design registers "a validated emergency address for each location" but does not define dispatchable-location granularity, network-to-location mapping, or the notification path — which for a multi-building fabrication site is where E911 usually fails.</t>
  </si>
  <si>
    <t xml:space="preserve">A dispatchable location that resolves only to a street address sends responders to the front office instead of the plant floor, and Kari's Law/RAY BAUM's Act expects notification and specific location detail.</t>
  </si>
  <si>
    <t xml:space="preserve">What dispatchable-location granularity is required — building, floor, bay, or zone — at each of the three sites?
Which subnets, wireless access points, and switch ports map to which location (needed to build the location information service)?
Who is notified when a 911 call is placed (front desk, plant manager, security), by what mechanism?
How are laptop and mobile users handled when off-site or working remotely?
Who validates each civic address with the carrier, and when is the per-site test call scheduled (WBS 8.3.5)?</t>
  </si>
  <si>
    <t xml:space="preserve">Teams Voice &gt; Emergency Calling (E911)</t>
  </si>
  <si>
    <t xml:space="preserve">G-38</t>
  </si>
  <si>
    <t xml:space="preserve">Source-side migration prerequisites are not captured: source tenant administrative access, the AvePoint Fly deployment model, tenant-to-tenant app consent, and confirmation that Fly supports a Commercial-to-GCC High cross-cloud move at all.</t>
  </si>
  <si>
    <t xml:space="preserve">This is a cross-cloud migration between two sovereign clouds, not a normal tenant-to-tenant move; every downstream WBS 5 task assumes a tool path nobody has confirmed in writing.</t>
  </si>
  <si>
    <t xml:space="preserve">Has AvePoint confirmed in writing that Fly supports Microsoft 365 Commercial to GCC High for mail, OneDrive, SharePoint, and Teams?
Who holds Global Administrator on the source commercial tenant, and is that access available for the whole migration window?
Where does Fly run — AvePoint-hosted service or customer-deployed — and if hosted, in which cloud region?
Which app registrations and admin consents are required in each tenant, and do the CA policies exclude them?
What throttling behaviour and pre-migration error remediation (WBS 5.1.3) is expected, and what is the tested throughput per night?</t>
  </si>
  <si>
    <t xml:space="preserve">Migration Design &gt; M365 Migration – AvePoint Fly</t>
  </si>
  <si>
    <t xml:space="preserve">Essendis + AvePoint</t>
  </si>
  <si>
    <t xml:space="preserve">G-39</t>
  </si>
  <si>
    <t xml:space="preserve">Source data volumes and mailbox inventory are unquantified. The design names workload types but no counts or sizes; the WBS carries approximations (~150 users, 15–20 shared mailboxes, up to 5 SharePoint sites, rooms TBD) and no data on archives, public folders, or PSTs.</t>
  </si>
  <si>
    <t xml:space="preserve">Volume drives migration duration, bandwidth, batch sizing, and cost; unlisted artifact classes like public folders and PSTs are the ones that surface on cutover weekend with no plan.</t>
  </si>
  <si>
    <t xml:space="preserve">What are the mailbox count and total/largest mailbox sizes, and how many users have online archives enabled?
Do on-premises public folders exist, and are they in scope — migrated to shared mailboxes/M365 groups, or abandoned?
Are there PST files on endpoints or file shares, and does the migration ingest them (they will otherwise be lost when devices are rebuilt)?
Is there a journaling mailbox, third-party archive (Mimecast/Barracuda), or legacy compliance archive to retain or migrate?
What is the total OneDrive and SharePoint volume, and how many mailbox delegations (Full Access, Send As, calendar delegates) must be reproduced?</t>
  </si>
  <si>
    <t xml:space="preserve">Known WBS bounds: ~150 user mailboxes (5.2.3), up to 20 shared mailboxes (5.2.4), up to 5 SharePoint sites (5.4.3), room counts TBD (1.1.2).</t>
  </si>
  <si>
    <t xml:space="preserve">Migration Design &gt; M365 Migration; new inventory appendix</t>
  </si>
  <si>
    <t xml:space="preserve">G-40</t>
  </si>
  <si>
    <t xml:space="preserve">Coexistence during the migration window is not designed. The design says "mail flow will remain unchanged during pre-stage synchronisation" and the WBS builds hybrid connectors, but nothing covers cross-tenant mail routing, free/busy, a unified address list, or Teams chat between migrated and unmigrated users.</t>
  </si>
  <si>
    <t xml:space="preserve">With users split across a commercial tenant and a GCC High tenant for weeks, calendar lookups and internal mail routing break unless explicitly designed — and cross-cloud free/busy between Commercial and GCC High is severely limited.</t>
  </si>
  <si>
    <t xml:space="preserve">Are user waves migrated over multiple weekends, or is mail cut over in one event with only data pre-staged?
How does internal mail route between migrated and unmigrated users, and which domain or routing address carries it?
Is cross-tenant free/busy expected — and has the Commercial-to-GCC High limitation been accepted or worked around (shared calendars, a booking freeze, a short window)?
Do migrated and unmigrated users need to chat and meet in Teams during the window, and is that possible across clouds?
How is the global address list kept usable in both tenants during coexistence?</t>
  </si>
  <si>
    <t xml:space="preserve">Migration Design &gt; Approach – Prestage; new "Coexistence" subsection</t>
  </si>
  <si>
    <t xml:space="preserve">G-41</t>
  </si>
  <si>
    <t xml:space="preserve">Domain transition mechanics are missing. The design covers DNS record repointing but not the constraint that wisconsinmetalparts.com must be removed from the commercial tenant before it can be added to GCC High (WBS 5.5.5/5.5.6), nor the transition domains, registrar access, TTL plan, or rollback.</t>
  </si>
  <si>
    <t xml:space="preserve">A vanity domain cannot exist in two tenants at once; the removal/re-add sequence creates a hard, irreversible window on cutover weekend that must be planned to the minute.</t>
  </si>
  <si>
    <t xml:space="preserve">What is the exact cutover runbook order for removing the domain from the commercial tenant and verifying it in GCC High, and what is the expected duration of that gap?
Which alternate/transition domain (WBS 1.2.1) carries mail and sign-in during the gap, and are user UPNs temporarily changed?
Who holds administrative access to the AWS DNS hosting, and what change window and approval applies?
What TTL reduction schedule is applied and how far in advance (WBS 5.5.1 says 48 hours)?
What is the DNS rollback plan (WBS 1.2.5), and at what point does rollback stop being possible?
Is the tenant's initial domain confirmed — the design records "wisconsinmetalparts.microsoftonline.us", which is a service endpoint rather than a tenant domain (expected form: wisconsinmetalparts.onmicrosoft.us)?</t>
  </si>
  <si>
    <t xml:space="preserve">Known from WBS 5.5.5–5.5.6: the domain must be released from the commercial tenant before it can be added and verified in GCC High.</t>
  </si>
  <si>
    <t xml:space="preserve">Entra ID &gt; Custom Domain; Migration Design &gt; Mail Flow Cutover</t>
  </si>
  <si>
    <t xml:space="preserve">G-42</t>
  </si>
  <si>
    <t xml:space="preserve">Migration scope beyond mail, files, and Teams content is undefined, and the design over-promises in one place: it lists "Chat History" as included while WBS 5.3.3 qualifies it as "where supported by tooling". The Constraints section defers unsupported artifacts to "documented prior to execution" rather than naming them.</t>
  </si>
  <si>
    <t xml:space="preserve">The classes that do not migrate cleanly cross-cloud — private channels, Planner, Forms, OneNote, Power Automate flows, retention-held items — are exactly the ones users notice, and the design currently commits to one of them without qualification.</t>
  </si>
  <si>
    <t xml:space="preserve">Has AvePoint confirmed private chat and private/shared channel migration Commercial to GCC High, and with what fidelity?
Which of Planner, Forms, OneNote, Lists, Stream, Bookings, Viva, Power Automate, Power Apps, and Power BI are actually in use, and what happens to each — migrate, rebuild, export, or abandon?
Are there Power Automate flows or Power Apps embedded in business processes that break when their SharePoint source moves?
Which third-party integrations reference legacy SharePoint/OneDrive URLs (the design lists this as a constraint but names none)?
Do retention policies, litigation holds, or archive mailboxes in the source block or complicate export?</t>
  </si>
  <si>
    <t xml:space="preserve">Known tension to resolve: the design promises Chat History; WBS 5.3.3 qualifies it as tooling-dependent. Confirm with AvePoint before the design commits.</t>
  </si>
  <si>
    <t xml:space="preserve">Migration Design &gt; Teams; Constraints</t>
  </si>
  <si>
    <t xml:space="preserve">G-43</t>
  </si>
  <si>
    <t xml:space="preserve">There is no application integration inventory. The design's Constraints section mentions "third-party integrations referencing legacy URLs" but nothing enumerates the applications that authenticate to Entra ID, call Microsoft Graph, or integrate with mail and files — and many ISVs do not support GCC High endpoints at all.</t>
  </si>
  <si>
    <t xml:space="preserve">An application that cannot be re-registered against GCC High becomes a go-live blocker discovered by users; WBS 9.1.4 also gates decommission on proving no application still authenticates to on-premises Exchange.</t>
  </si>
  <si>
    <t xml:space="preserve">Which applications use Entra ID single sign-on today (ERP/MRP, quoting, HR, CAD/PDM, shipping, quality)?
Which of those vendors support GCC High endpoints, and which need reconfiguration or replacement?
Which applications read or write M365 data through Graph, EWS, or mailbox permissions?
Which service accounts exist for those integrations, how do they authenticate, and are they excluded from MFA/CA policies?
Which systems store or process CUI and therefore sit inside the assessment boundary?</t>
  </si>
  <si>
    <t xml:space="preserve">New section: Assumptions &amp; Dependencies &gt; Application Integrations</t>
  </si>
  <si>
    <t xml:space="preserve">G-44</t>
  </si>
  <si>
    <t xml:space="preserve">On-premises file shares are not mentioned anywhere. The migration covers M365 sources only, yet a 150-user fabricator running an on-premises Exchange and AD almost certainly has a file server holding drawings and job folders — and CUI with it.</t>
  </si>
  <si>
    <t xml:space="preserve">If CUI sits on an on-premises share, either it migrates into the GCC High enclave or that server stays inside the CMMC boundary and must be hardened, monitored, and evidenced by someone.</t>
  </si>
  <si>
    <t xml:space="preserve">Is there an on-premises file server, NAS, or departmental share, and does it hold CUI or export-controlled drawings?
Is any of that content in scope for migration to SharePoint or OneDrive, and if so how much and with what permission model?
If it stays on-premises, who hardens, backs up, monitors, and evidences it for CMMC — it is outside Essendis's M365-only scope?
Do CAD/PDM systems or machine-tool controllers read from those shares, which would prevent moving them?
How do scanners and MFPs deliver scan-to-folder output today, and where does that land after migration?</t>
  </si>
  <si>
    <t xml:space="preserve">Scope / Assumptions &amp; Dependencies; CMMC boundary definition</t>
  </si>
  <si>
    <t xml:space="preserve">G-45</t>
  </si>
  <si>
    <t xml:space="preserve">The communications plan lists five message types but no detail, and end-user training is not addressed at all — while WBS 2.8.5 explicitly flags CUI labelling training as out of Essendis scope and hands it to WMP.</t>
  </si>
  <si>
    <t xml:space="preserve">Users hit three changes at once (new sign-in and MFA, re-profiled devices, GCC High-specific clients); an unprepared floor turns hypercare into a queue, and untrained users cannot apply the CUI labels the compliance design depends on.</t>
  </si>
  <si>
    <t xml:space="preserve">Who writes, approves, and sends each communication — WMP or Essendis — and on what dates relative to each wave?
Is there live training or only written guidance, and how are shift workers with no desk or corporate email reached?
Who delivers CUI labelling and handling training, and is that a WMP obligation as the WBS assumes?
What is the day-of-cutover instruction set for users (sign-in changes, Outlook profile, mobile re-enrolment, what will look different)?
How are users told where to get help, and is that channel staffed at shift start on Monday?</t>
  </si>
  <si>
    <t xml:space="preserve">Known from WBS 2.8.5: user labelling training is assigned to WMP and flagged out of Essendis scope.</t>
  </si>
  <si>
    <t xml:space="preserve">Migration Design &gt; Communications</t>
  </si>
  <si>
    <t xml:space="preserve">G-46</t>
  </si>
  <si>
    <t xml:space="preserve">Device inventory is missing. The design never states how many Windows endpoints exist; WBS 1.1.8 and 7.1.1 both assign the count to WMP and record it as TBD, and nothing defines what happens to devices that cannot meet the Entra join requirements.</t>
  </si>
  <si>
    <t xml:space="preserve">Wave planning, ForensIT licensing, on-site labour across three sites, and the hardware refresh budget all depend on a number nobody has produced.</t>
  </si>
  <si>
    <t xml:space="preserve">How many Windows endpoints exist by site and by type (desktop, laptop, shop-floor terminal, engineering workstation)?
Which devices fail the Windows 10 21H2+/Windows 11 requirement (WBS 7.1.4) or lack TPM 2.0, and are they replaced, rebuilt, or excluded?
Are there devices that cannot be touched — machine-tool controllers, inspection PCs, kiosks — and do they need M365 access?
Are there Windows servers in scope for Intune or Defender, or are all servers out of scope?
What is the hardware refresh budget and lead time if replacements are required?</t>
  </si>
  <si>
    <t xml:space="preserve">Migration Design &gt; Device Migration – ForensIT; new inventory appendix</t>
  </si>
  <si>
    <t xml:space="preserve">G-47</t>
  </si>
  <si>
    <t xml:space="preserve">The ForensIT profile conversion is described in six bullets with no execution detail: no per-device runbook, no handling of credential and encryption state, and no treatment of the application-level breakage that a domain-to-Entra identity change causes.</t>
  </si>
  <si>
    <t xml:space="preserve">BitLocker keys currently escrowed to on-premises AD do not follow the device to Entra; Windows Hello, cached credentials, saved application passwords, and mapped resources all reset at conversion. Any of these turns a 30-minute conversion into a rebuild.</t>
  </si>
  <si>
    <t xml:space="preserve">Where are BitLocker recovery keys today, and what is the re-escrow procedure to Entra ID (WBS 7.2.5 requires it as evidence) — suspend/resume or decrypt/re-encrypt?
Is the conversion attended per device or scripted, how long does each take, and is it done on-site at all three locations or remotely?
What happens to Windows Hello enrolment, cached credentials, saved browser and application credentials, and Outlook profiles after conversion?
Which line-of-business applications need re-licensing, re-authentication, or reinstall once the user SID changes (CAD/CAM, ERP client, engineering tools)?
What is the per-device rollback if the conversion fails, and what backup exists beyond "backup of local profiles"?
Is a ForensIT Corporate/Deployment licence purchased for the fleet size, and who runs the tool?</t>
  </si>
  <si>
    <t xml:space="preserve">Migration Design &gt; Device Migration – ForensIT User Profile Wizard</t>
  </si>
  <si>
    <t xml:space="preserve">G-48</t>
  </si>
  <si>
    <t xml:space="preserve">Access to on-premises resources from Entra-joined devices is unaddressed. Once devices leave the domain, Kerberos-based access to file shares, print servers, and the ERP client stops working the way it does today — and the design never mentions it.</t>
  </si>
  <si>
    <t xml:space="preserve">This is the most common post-migration outage in an Entra-join project: users lose mapped drives, printers, and application logins on the Monday after their device is converted, at three sites simultaneously.</t>
  </si>
  <si>
    <t xml:space="preserve">Which on-premises resources do users reach daily — file shares, print servers, ERP/MRP, scan-to-folder destinations, licence servers?
How is authentication preserved from an Entra-joined device — Entra Kerberos/cloud trust, an Entra hybrid-join exception for some devices, or credential prompts with saved credentials?
How are drive mappings redelivered once GPO is retired — Intune script, or eliminated by moving the content to SharePoint/OneDrive?
How are printers deployed — Universal Print (confirm GCC High availability), Intune-deployed direct IP printing, or a print server that survives?
Does the ERP client require domain membership or integrated Windows authentication?</t>
  </si>
  <si>
    <t xml:space="preserve">New section: Endpoint Configuration &gt; On-Premises Resource Access; Device Migration</t>
  </si>
  <si>
    <t xml:space="preserve">G-49</t>
  </si>
  <si>
    <t xml:space="preserve">The pre-decommission gate lists what must be true but not how it is proven. "No applications or services still authenticating" and "no SMTP relay dependencies" are assertions with no monitoring method, no observation period, and no evidence artifact; the monitored-hold duration is left as "until confirmed idle".</t>
  </si>
  <si>
    <t xml:space="preserve">Decommission is one-way past the point of hybrid removal; a relay client discovered afterwards means mail loss with only a server backup as the recovery route.</t>
  </si>
  <si>
    <t xml:space="preserve">How are residual connections detected — Exchange protocol/SMTP receive logs, connection filtering, firewall logs — and who reviews them?
How long is the monitored hold (7, 14, 30 days) and what defines "idle" quantitatively?
What evidence artifact closes each gate item, and does it go into the CMMC evidence package?
Who at WMP signs the written decommission authorisation, and is the signature form agreed?
Is the Exchange server left powered on but blocked at the firewall during the hold, or fully serviceable?</t>
  </si>
  <si>
    <t xml:space="preserve">Migration Design &gt; Pre-Decommission Validation Gate; Monitored Hold</t>
  </si>
  <si>
    <t xml:space="preserve">G-50</t>
  </si>
  <si>
    <t xml:space="preserve">The document states that after decommission, recipient management moves to "Entra ID Connect and PowerShell against Active Directory attributes" with no Exchange management server retained — but no runbook, tooling, or skills transfer is defined for that day-2 reality.</t>
  </si>
  <si>
    <t xml:space="preserve">Creating a mailbox, adding a proxy address, or building a distribution list from raw AD attributes is error-prone and unfamiliar; WMP will need to do it in week one after handoff and there is nothing written to follow.</t>
  </si>
  <si>
    <t xml:space="preserve">What is the documented procedure for creating a new mailbox-enabled user, adding an alias, and creating a distribution group with no Exchange tools?
Which attributes must be set on-premises (proxyAddresses, mailNickname, targetAddress) versus managed in the cloud?
Is a management shell, script set, or the Exchange management tools-only install retained as an alternative?
Who at WMP is trained and named for this, and is it in the as-configured document?
Would moving to cloud-mastered identity (retiring Entra Connect) remove this problem entirely, and is that on the roadmap?</t>
  </si>
  <si>
    <t xml:space="preserve">Migration Design &gt; Hybrid Configuration and Directory Services; As-Configured document</t>
  </si>
  <si>
    <t xml:space="preserve">G-51</t>
  </si>
  <si>
    <t xml:space="preserve">The post-hypercare support model is explicitly undefined — the document states support channels "will be clearly defined during the hypercare period" and leaves escalation paths and response times blank.</t>
  </si>
  <si>
    <t xml:space="preserve">At the end of the 40-hour post-cutover window (WBS 5.6) the tenant becomes someone's day job; without a named model, CMMC-relevant tasks like alert triage and access review simply stop happening.</t>
  </si>
  <si>
    <t xml:space="preserve">Who operates the tenant after handoff — WMP internal IT, Essendis under a managed agreement, or a third-party MSP?
What are the hypercare duration, hours of coverage, and response targets, and how do they step down?
Where do users report problems (helpdesk email, phone, Teams), and who staffs tier 1 at shift start?
What is the escalation path to Essendis, to Microsoft (GCC High premier/unified?), and to CallTower for carrier faults?
Does Essendis retain administrative access after handoff, under what agreement, and with what US-person attestation?</t>
  </si>
  <si>
    <t xml:space="preserve">Migration Design &gt; Communications; new "Operations &amp; Support Model" section</t>
  </si>
  <si>
    <t xml:space="preserve">G-52</t>
  </si>
  <si>
    <t xml:space="preserve">There is no monitoring or alerting design. The only alert in the document is break-glass sign-in detection "via Log Analytics in Azure" — a service that is out of scope — and nothing routes Defender, Intune, identity, or service-health alerts to a human.</t>
  </si>
  <si>
    <t xml:space="preserve">CMMC AU.L2-3.3.1/3.3.5 and IR.L2-3.6.1 expect logs to be reviewed and incidents detected; alerts nobody receives are not a detective control, and the break-glass alert as designed cannot be built.</t>
  </si>
  <si>
    <t xml:space="preserve">Which M365-native mechanism replaces Log Analytics for break-glass sign-in alerting — an Entra risk/activity alert, a Purview audit alert policy, or a Defender custom detection?
Who receives Defender for Office, Defender for Endpoint, Intune compliance, and Entra risky-user alerts, and to what response SLA?
Is a SIEM in the picture at all? Sentinel requires an Azure Government subscription, which is out of scope — is a third-party SIEM or manual review the answer?
Who monitors Microsoft 365 service health and communicates outages to users?
What is the periodic log review cadence and who evidences that it happened?</t>
  </si>
  <si>
    <t xml:space="preserve">Constraint to design around: Azure is out of scope, so the documented Log Analytics approach for break-glass alerting is not available and needs an M365-native replacement.</t>
  </si>
  <si>
    <t xml:space="preserve">Baseline Security &gt; Emergency Accounts; new "Monitoring &amp; Alerting" section</t>
  </si>
  <si>
    <t xml:space="preserve">G-53</t>
  </si>
  <si>
    <t xml:space="preserve">Backup and recoverability for M365 data is not addressed. The only backup in the document is WMP's final Exchange server snapshot; nothing covers mail, OneDrive, SharePoint, or Teams data after migration, and native retention is not a backup.</t>
  </si>
  <si>
    <t xml:space="preserve">Ransomware or bulk deletion after go-live leaves version history and the recycle bin as the only recovery paths; recovery expectations should be an explicit accepted risk rather than an assumption.</t>
  </si>
  <si>
    <t xml:space="preserve">What are WMP's recovery point and recovery time expectations for mail and files?
Is a third-party or Microsoft 365 backup product in scope, and is it available and authorised for GCC High?
If no backup product is purchased, is reliance on retention policies, versioning (500 versions), and the recycle bin a formally accepted risk?
How long is deleted-user data retained, and how is a departed user's mailbox and OneDrive preserved?
Does the CMMC/DFARS posture or any prime contract impose a backup or media-protection requirement?</t>
  </si>
  <si>
    <t xml:space="preserve">New section: Operations &amp; Support &gt; Backup and Recovery</t>
  </si>
  <si>
    <t xml:space="preserve">G-54</t>
  </si>
  <si>
    <t xml:space="preserve">Recurring operational tasks are never listed. Several items configured during the project expire on their own schedule — the Apple MDM push certificate (annual), the Apple Business Manager token, DKIM keys, any SBC certificate, and PIM/access review cycles.</t>
  </si>
  <si>
    <t xml:space="preserve">An expired Apple push certificate unmanages every iOS device at once; an unrun access review is a missing AC.L2-3.1.7 artifact. These are cheap to schedule and expensive to miss.</t>
  </si>
  <si>
    <t xml:space="preserve">Who owns renewal of the Apple MDM push certificate and the ABM/VPP token, under which Apple ID, and where is that recorded?
What is the access review cadence (PIM role assignments, group membership, guest accounts), who reviews, and where is the output stored?
Who rotates DKIM keys, service-principal secrets, and any Direct Routing SBC certificate?
What is the Secure Score review cadence (WBS 5.6.3 commits to monitoring it) and who acts on regressions?
Is there an annual licence true-up and a device compliance/audit review before each CMMC assessment cycle?</t>
  </si>
  <si>
    <t xml:space="preserve">New section: Operations &amp; Support &gt; Recurring Tasks and Renewals</t>
  </si>
  <si>
    <t xml:space="preserve">G-55</t>
  </si>
  <si>
    <t xml:space="preserve">There is no change control process for the tenant after go-live. The design defines a build but not how the built state is preserved, reviewed, or amended.</t>
  </si>
  <si>
    <t xml:space="preserve">CMMC CM.L2-3.4.3 and CM.L2-3.4.4 require changes to be tracked, reviewed, and analysed for security impact; an unmanaged tenant drifts away from its evidence package within weeks.</t>
  </si>
  <si>
    <t xml:space="preserve">Who may change tenant configuration after handoff, and does any change require approval?
How are changes recorded, and is the as-configured document updated as part of the change (and by whom)?
Is there a test or pilot ring for policy changes, or do changes go straight to production?
How are Microsoft-driven changes (message center, new default settings, product retirements) reviewed and actioned?
How is configuration drift detected before the next CMMC assessment?</t>
  </si>
  <si>
    <t xml:space="preserve">New section: Operations &amp; Support &gt; Change Control</t>
  </si>
  <si>
    <t xml:space="preserve">G-56</t>
  </si>
  <si>
    <t xml:space="preserve">The CMMC assessment boundary is never defined. The design covers M365 only and never states which systems process, store, or transmit CUI — while WBS 1.1.3 makes "map CUI data flows" a named task and calls it the key input for boundary definition.</t>
  </si>
  <si>
    <t xml:space="preserve">Scope determines the entire assessment: every system in the boundary needs controls and evidence, and an M365-only design cannot be assessed in isolation if CUI also lives in the ERP, on a file server, or on the shop floor.</t>
  </si>
  <si>
    <t xml:space="preserve">Where does CUI actually live today — email, SharePoint/OneDrive, file server, ERP/MRP, CAD/PDM, shop-floor systems, paper?
Which systems are inside the CMMC assessment boundary, and who has confirmed that with the RPO?
Is a network/boundary diagram and asset inventory being produced, by whom (Essendis, WMP, or Bound Planet), and by when?
Are there Specialized Assets (machine tools, test equipment, IoT) that need the CMMC asset categorisation treatment?
Does WMP's CUI come with any additional marking or handling requirement (export-controlled/ITAR technical data)?</t>
  </si>
  <si>
    <t xml:space="preserve">Scope; new "CMMC Boundary" section (input from RPO)</t>
  </si>
  <si>
    <t xml:space="preserve">WMP + RPO</t>
  </si>
  <si>
    <t xml:space="preserve">G-57</t>
  </si>
  <si>
    <t xml:space="preserve">There is no traceability between the design's settings and the CMMC/NIST SP 800-171 practices, in either direction: the RPO control mapping that WBS 2.1.1 makes a hard gate has not been received, and the evidence package and Solution Configuration Document that WBS 2.9 delivers have no defined format or maintainer.</t>
  </si>
  <si>
    <t xml:space="preserve">WBS sheet 2 states the InfoSec workstream cannot start without the RPO deliverable, and an assessor works from evidence keyed to practices — configuration screenshots with no practice index prove nothing.</t>
  </si>
  <si>
    <t xml:space="preserve">When will Bound Planet (Grant Burns) deliver the NIST SP 800-171 control mapping and the SSP draft, and what is the plan if it slips past the InfoSec workstream start?
Which of the 110 practices does the M365 design actually satisfy, which are partial, and which are out of scope for Essendis?
What format is the evidence — screenshots, configuration exports, PowerShell output — and what index maps each artifact to its practice number (WBS 2.9.4)?
Who maintains the mapping and evidence after handoff, and how is it refreshed when settings change?
Who writes POA&amp;M entries for residual gaps — the RPO from Essendis's findings (WBS 2.1.5, 2.9.8) — and on what timetable?
Does a C3PAO assessment date exist that the evidence package must be ready for?</t>
  </si>
  <si>
    <t xml:space="preserve">Known from WBS 2.1: the RPO control mapping is a hard gate on the InfoSec workstream, and the Solution Configuration Document plus evidence index are Essendis deliverables (2.9.4–2.9.6).</t>
  </si>
  <si>
    <t xml:space="preserve">New section: CMMC Control Traceability; Solution Configuration Document</t>
  </si>
  <si>
    <t xml:space="preserve">Essendis + RPO</t>
  </si>
  <si>
    <t xml:space="preserve">G-58</t>
  </si>
  <si>
    <t xml:space="preserve">CUI information protection is undefined. Sensitivity labels are not mentioned anywhere in the design, and DLP appears only as a passing reference ("Communication Compliance or DLP policies") and a Deployment phase 2 bullet — while WBS 2.3 and 2.8 commit to a full sensitive-information-type, label, and DLP policy set.</t>
  </si>
  <si>
    <t xml:space="preserve">Labelling and DLP are the mechanisms that make CUI identifiable and containable in M365 (CMMC MP.L2-3.8.x, AC.L2-3.1.3 control of CUI flow); without a taxonomy the design has no way to distinguish CUI from ordinary business data.</t>
  </si>
  <si>
    <t xml:space="preserve">What is the label taxonomy — CUI, CUI//SP-, Internal, Public — and does it follow WMP's or the prime's marking conventions?
Is labelling manual, recommended, or automatic, and does the CUI label apply encryption, visual marking, or both?
What custom sensitive information types identify WMP's CUI (part numbers, contract numbers, drawing numbers, ITAR markings)?
What does DLP do on a match — block, warn with override, or audit — in Exchange, Teams, SharePoint/OneDrive, and on endpoints?
Is Endpoint DLP in scope for Windows devices (USB, print, clipboard), and is it licensed?
Is Communication Compliance actually in scope, or was that reference aspirational?</t>
  </si>
  <si>
    <t xml:space="preserve">Scope known from WBS 2.3 and 2.8: SITs, Exchange/Teams/SharePoint/OneDrive DLP with simulation-mode tuning, label taxonomy, auto-labelling, and label-based protection are all committed tasks.</t>
  </si>
  <si>
    <t xml:space="preserve">New section: M365 Design &gt; Information Protection (Labels and DLP)</t>
  </si>
  <si>
    <t xml:space="preserve">G-59</t>
  </si>
  <si>
    <t xml:space="preserve">Retention and disposition are defined only in fragments — OneDrive 7 years for leavers, Teams recordings 180 days, spam quarantine 14 days, SharePoint 500 versions. There is no organisation-wide retention schedule, no mailbox archiving design, and no litigation hold or eDiscovery position.</t>
  </si>
  <si>
    <t xml:space="preserve">Deployment phase 2 commits to applying retention policies that nothing defines, and CMMC/DFARS record expectations plus contract requirements usually drive a specific retention period for contract-related records.</t>
  </si>
  <si>
    <t xml:space="preserve">What retention periods apply to email, SharePoint, Teams chat and channel messages, and OneDrive — and are they driven by contract, legal, or CMMC?
Is deletion actually enforced at end of retention, or is retention preserve-only?
Are online archive mailboxes enabled, with what quota and archive policy, and is auto-expanding archive needed?
Is litigation hold or a legal-hold process required, who can place one, and who runs eDiscovery searches?
What happens to a leaver's mailbox — converted to shared, held as inactive, or deleted — and after how long?
Do retention policies conflict with anything the migration must move or delete in the source tenant?</t>
  </si>
  <si>
    <t xml:space="preserve">OneDrive &gt; Storage and Retention; new "Retention &amp; Disposition" section</t>
  </si>
  <si>
    <t xml:space="preserve">G-60</t>
  </si>
  <si>
    <t xml:space="preserve">Audit logging is mentioned once, for Teams ("ensure audit logging is on"). The unified audit log, its retention duration, mailbox audit configuration, and log export are not defined — while WBS 2.6 commits to all of them, including a 90-day minimum.</t>
  </si>
  <si>
    <t xml:space="preserve">CMMC AU.L2-3.3.1/3.3.2 requires audit records sufficient to trace user actions, and retention duration is a licensing decision (extended retention needs a Purview Audit Premium/G5-class entitlement) that has to be made before go-live.</t>
  </si>
  <si>
    <t xml:space="preserve">Is the unified audit log enabled tenant-wide at tenant initialisation, and is that verified as evidence?
What audit retention is required — the 90-day minimum in the WBS, one year, or three — and does the chosen SKU support it?
Is mailbox auditing enabled for owner, delegate, and admin actions, and with which audited action set?
How are audit logs exported or preserved beyond the tenant retention window, given no Azure/Sentinel in scope?
Who runs the periodic audit review, on what cadence, and how is the review itself evidenced?</t>
  </si>
  <si>
    <t xml:space="preserve">Known from WBS 2.6.2: audit retention is set to meet a CMMC 90-day minimum — confirm whether WMP or the RPO requires longer.</t>
  </si>
  <si>
    <t xml:space="preserve">New section: Baseline Security &gt; Audit Logging and Retention</t>
  </si>
  <si>
    <t xml:space="preserve">G-61</t>
  </si>
  <si>
    <t xml:space="preserve">DFARS 252.204-7012 operational obligations are not designed. The clause is quoted in the Appendix B terms of use, but nothing covers the 72-hour incident report to DoD, the incident response process, or who does what — and the appendix still carries "[To-Be-Determined]" for the security contact email and phone.</t>
  </si>
  <si>
    <t xml:space="preserve">DFARS 252.204-7012(c) requires a report to DoD within 72 hours of discovering a cyber incident; a process that exists only as placeholder text in a terms-of-use banner will not deliver that under pressure.</t>
  </si>
  <si>
    <t xml:space="preserve">Who declares a cyber incident at WMP, and who is authorised to file the report to DIBNet within 72 hours?
Does WMP hold the medium assurance certificate needed to submit a DIBNet report, and if not, how long does obtaining one take?
What is Essendis's role on incident detection and notification, and is it contractual?
What is the incident response plan and runbook for an M365 incident (compromised account, data spill into a non-GCC High location)?
Which SOC email address and phone number replace the placeholders in Appendix B, and who monitors them?
Is a tabletop exercise expected before the CMMC assessment?</t>
  </si>
  <si>
    <t xml:space="preserve">New section: Incident Response &amp; DFARS Reporting; Appendix B</t>
  </si>
  <si>
    <t xml:space="preserve">G-62</t>
  </si>
  <si>
    <t xml:space="preserve">Only CallTower has a shared responsibility matrix. Nothing equivalent exists for Microsoft, AvePoint, or ForensIT, and nothing states whether AvePoint Fly processes CUI, where it runs, or whether its staff are US persons.</t>
  </si>
  <si>
    <t xml:space="preserve">DFARS 252.204-7012(m) requires flow-down to subcontractors handling covered defense information; a migration tool that reads every mailbox and file is handling CUI by definition, and its hosting and personnel become part of WMP's compliance story.</t>
  </si>
  <si>
    <t xml:space="preserve">Does AvePoint Fly process, store, or transit CUI, where does it run, and is that environment FedRAMP-authorised at an appropriate level?
Can AvePoint provide a DFARS 7012 flow-down attestation and a shared responsibility statement, and are its support personnel US persons?
Which Microsoft artifacts are collected for the evidence package — GCC High shared responsibility model, DFARS/FedRAMP documentation?
Has ForensIT's tool been vetted, does it phone home, and is the licence appropriate for a controlled environment?
Are Essendis's own personnel with administrative access US persons, and is that attested in the contract?
Who tracks these third-party artifacts into the evidence package — Essendis or the RPO?</t>
  </si>
  <si>
    <t xml:space="preserve">Known precedent from WBS 8.4: the CallTower SRM is being obtained, reviewed, and delivered into the evidence package — the same treatment is needed for the other providers.</t>
  </si>
  <si>
    <t xml:space="preserve">Teams Voice &gt; CMMC Shared Responsibility Matrix (extend to all providers)</t>
  </si>
  <si>
    <t xml:space="preserve">G-63</t>
  </si>
  <si>
    <t xml:space="preserve">The documentation deliverables and their acceptance are not stated in the design. The WBS commits to an as-built configuration document, admin procedures, break-glass procedures, a handoff walkthrough, a Solution Configuration Document, and six separate customer sign-offs — none of which the design names.</t>
  </si>
  <si>
    <t xml:space="preserve">Handoff without an agreed deliverable list and acceptance criteria is where engagements stall; the sign-off gates in the WBS (tenant validation, SDD, config document, GPO retirement, decommission authorisation) each need a named signer.</t>
  </si>
  <si>
    <t xml:space="preserve">What is the final documentation set — as-configured document, admin runbooks, user quick-reference, evidence package, break-glass procedure — and in what format?
Which document records the settings actually applied, and is it produced from the live tenant or maintained by hand?
Who signs each acceptance gate (tenant validation, SDD, Solution Configuration Document, GPO retirement, decommission authorisation, final handoff), and what does sign-off mean?
Is a handoff walkthrough session scheduled (WBS 5.6.7), with whom, and does it include the RPO?
Who owns updating these documents after go-live as the tenant changes?</t>
  </si>
  <si>
    <t xml:space="preserve">New section: Deliverables &amp; Acceptance</t>
  </si>
  <si>
    <t xml:space="preserve">G-64</t>
  </si>
  <si>
    <t xml:space="preserve">The design contains no diagrams. WBS 1.6.1 commits to "architecture diagrams, tenant design, identity model" in the SDD; the document as it stands has a cover image and logos only.</t>
  </si>
  <si>
    <t xml:space="preserve">Identity flow, mail flow during coexistence, and the CMMC boundary are all things reviewers and assessors read as pictures; their absence is also why the join-model and coexistence contradictions in this register went unnoticed.</t>
  </si>
  <si>
    <t xml:space="preserve">Which diagrams are required — tenant/identity architecture, mail flow before and after cutover, device management model, CMMC boundary, migration sequence?
Does the CMMC boundary diagram come from Essendis or the RPO, and which one goes in the SSP?
Who draws them, in what tool, and are they delivered as source files WMP can maintain?
Should the coexistence-period mail flow be diagrammed explicitly, given the cross-cloud constraints?</t>
  </si>
  <si>
    <t xml:space="preserve">Overview / M365 Design (new diagram set)</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</si>
</sst>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2E4057"/>
      <name val="Arial"/>
      <family val="0"/>
      <charset val="1"/>
    </font>
    <font>
      <sz val="10"/>
      <name val="Arial"/>
      <family val="0"/>
      <charset val="1"/>
    </font>
    <font>
      <sz val="9"/>
      <color rgb="FF5A6675"/>
      <name val="Arial"/>
      <family val="0"/>
      <charset val="1"/>
    </font>
    <font>
      <b val="true"/>
      <sz val="11"/>
      <color rgb="FF1F3864"/>
      <name val="Arial"/>
      <family val="0"/>
      <charset val="1"/>
    </font>
    <font>
      <b val="true"/>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DCE3ED"/>
        <bgColor rgb="FFC9D2DE"/>
      </patternFill>
    </fill>
    <fill>
      <patternFill patternType="solid">
        <fgColor rgb="FF1F3864"/>
        <bgColor rgb="FF2E4057"/>
      </patternFill>
    </fill>
    <fill>
      <patternFill patternType="solid">
        <fgColor rgb="FFF8D2CE"/>
        <bgColor rgb="FFFCE7C4"/>
      </patternFill>
    </fill>
    <fill>
      <patternFill patternType="solid">
        <fgColor rgb="FFFCE7C4"/>
        <bgColor rgb="FFF8D2CE"/>
      </patternFill>
    </fill>
    <fill>
      <patternFill patternType="solid">
        <fgColor rgb="FFF2F5F9"/>
        <bgColor rgb="FFFFFFFF"/>
      </patternFill>
    </fill>
  </fills>
  <borders count="2">
    <border diagonalUp="false" diagonalDown="false">
      <left/>
      <right/>
      <top/>
      <bottom/>
      <diagonal/>
    </border>
    <border diagonalUp="false" diagonalDown="false">
      <left style="thin">
        <color rgb="FFC9D2DE"/>
      </left>
      <right style="thin">
        <color rgb="FFC9D2DE"/>
      </right>
      <top style="thin">
        <color rgb="FFC9D2DE"/>
      </top>
      <bottom style="thin">
        <color rgb="FFC9D2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9" fillId="2" borderId="1" xfId="0" applyFont="true" applyBorder="true" applyAlignment="true" applyProtection="true">
      <alignment horizontal="left" vertical="center"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5" fontId="6" fillId="0" borderId="1" xfId="0" applyFont="true" applyBorder="true" applyAlignment="true" applyProtection="true">
      <alignment horizontal="center" vertical="top" textRotation="0" wrapText="true" indent="0" shrinkToFit="false"/>
      <protection locked="true" hidden="false"/>
    </xf>
    <xf numFmtId="164" fontId="9" fillId="2" borderId="1" xfId="0" applyFont="true" applyBorder="true" applyAlignment="true" applyProtection="true">
      <alignment horizontal="left" vertical="top" textRotation="0" wrapText="true" indent="0" shrinkToFit="false"/>
      <protection locked="true" hidden="false"/>
    </xf>
    <xf numFmtId="165" fontId="9" fillId="2" borderId="1" xfId="0" applyFont="true" applyBorder="true" applyAlignment="true" applyProtection="true">
      <alignment horizontal="center" vertical="top" textRotation="0" wrapText="true" indent="0" shrinkToFit="false"/>
      <protection locked="true" hidden="false"/>
    </xf>
    <xf numFmtId="164" fontId="10" fillId="3" borderId="1" xfId="0" applyFont="true" applyBorder="true" applyAlignment="true" applyProtection="true">
      <alignment horizontal="left" vertical="center" textRotation="0" wrapText="true" indent="0" shrinkToFit="false"/>
      <protection locked="true" hidden="false"/>
    </xf>
    <xf numFmtId="164" fontId="9" fillId="0" borderId="1" xfId="0" applyFont="true" applyBorder="true" applyAlignment="true" applyProtection="true">
      <alignment horizontal="center" vertical="top" textRotation="0" wrapText="tru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6" fillId="4" borderId="1" xfId="0" applyFont="true" applyBorder="true" applyAlignment="true" applyProtection="true">
      <alignment horizontal="center" vertical="top" textRotation="0" wrapText="true" indent="0" shrinkToFit="false"/>
      <protection locked="true" hidden="false"/>
    </xf>
    <xf numFmtId="164" fontId="6" fillId="5" borderId="1" xfId="0" applyFont="true" applyBorder="true" applyAlignment="true" applyProtection="true">
      <alignment horizontal="center" vertical="top" textRotation="0" wrapText="true" indent="0" shrinkToFit="false"/>
      <protection locked="true" hidden="false"/>
    </xf>
    <xf numFmtId="164" fontId="9" fillId="6" borderId="1" xfId="0" applyFont="true" applyBorder="true" applyAlignment="true" applyProtection="true">
      <alignment horizontal="center" vertical="top" textRotation="0" wrapText="true" indent="0" shrinkToFit="false"/>
      <protection locked="true" hidden="false"/>
    </xf>
    <xf numFmtId="164" fontId="6" fillId="6" borderId="1" xfId="0" applyFont="true" applyBorder="true" applyAlignment="true" applyProtection="true">
      <alignment horizontal="general" vertical="top" textRotation="0" wrapText="true" indent="0" shrinkToFit="false"/>
      <protection locked="true" hidden="false"/>
    </xf>
    <xf numFmtId="164" fontId="6" fillId="6" borderId="1" xfId="0" applyFont="true" applyBorder="true" applyAlignment="true" applyProtection="tru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fgColor rgb="FFF2F5F9"/>
          <bgColor rgb="FF000000"/>
        </patternFill>
      </fill>
    </dxf>
    <dxf>
      <fill>
        <patternFill patternType="solid">
          <bgColor rgb="FF000000"/>
        </patternFill>
      </fill>
    </dxf>
    <dxf>
      <fill>
        <patternFill patternType="solid">
          <fgColor rgb="FFFFFFFF"/>
          <bgColor rgb="FF000000"/>
        </patternFill>
      </fill>
    </dxf>
    <dxf>
      <fill>
        <patternFill patternType="solid">
          <fgColor rgb="FFF8D2CE"/>
          <bgColor rgb="FF000000"/>
        </patternFill>
      </fill>
    </dxf>
    <dxf>
      <fill>
        <patternFill patternType="solid">
          <fgColor rgb="FFFCE7C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5F9"/>
      <rgbColor rgb="FFDCE3ED"/>
      <rgbColor rgb="FF660066"/>
      <rgbColor rgb="FFFF8080"/>
      <rgbColor rgb="FF0066CC"/>
      <rgbColor rgb="FFC9D2DE"/>
      <rgbColor rgb="FF000080"/>
      <rgbColor rgb="FFFF00FF"/>
      <rgbColor rgb="FFFFFF00"/>
      <rgbColor rgb="FF00FFFF"/>
      <rgbColor rgb="FF800080"/>
      <rgbColor rgb="FF800000"/>
      <rgbColor rgb="FF008080"/>
      <rgbColor rgb="FF0000FF"/>
      <rgbColor rgb="FF00CCFF"/>
      <rgbColor rgb="FFCCFFFF"/>
      <rgbColor rgb="FFCCFFCC"/>
      <rgbColor rgb="FFFCE7C4"/>
      <rgbColor rgb="FF99CCFF"/>
      <rgbColor rgb="FFFF99CC"/>
      <rgbColor rgb="FFCC99FF"/>
      <rgbColor rgb="FFF8D2CE"/>
      <rgbColor rgb="FF3366FF"/>
      <rgbColor rgb="FF33CCCC"/>
      <rgbColor rgb="FF99CC00"/>
      <rgbColor rgb="FFFFCC00"/>
      <rgbColor rgb="FFFF9900"/>
      <rgbColor rgb="FFFF6600"/>
      <rgbColor rgb="FF5A6675"/>
      <rgbColor rgb="FF969696"/>
      <rgbColor rgb="FF1F3864"/>
      <rgbColor rgb="FF339966"/>
      <rgbColor rgb="FF003300"/>
      <rgbColor rgb="FF333300"/>
      <rgbColor rgb="FF993300"/>
      <rgbColor rgb="FF993366"/>
      <rgbColor rgb="FF333399"/>
      <rgbColor rgb="FF2E40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5" min="3" style="1" width="13"/>
    <col collapsed="false" customWidth="true" hidden="false" outlineLevel="0" max="6" min="6" style="1" width="58"/>
    <col collapsed="false" customWidth="true" hidden="false" outlineLevel="0" max="7" min="7" style="1" width="13"/>
  </cols>
  <sheetData>
    <row r="2" customFormat="false" ht="19.7" hidden="false" customHeight="false" outlineLevel="0" collapsed="false">
      <c r="B2" s="2" t="s">
        <v>0</v>
      </c>
    </row>
    <row r="3" customFormat="false" ht="15" hidden="false" customHeight="false" outlineLevel="0" collapsed="false">
      <c r="B3" s="3" t="s">
        <v>1</v>
      </c>
    </row>
    <row r="4" customFormat="false" ht="15" hidden="false" customHeight="false" outlineLevel="0" collapsed="false">
      <c r="B4" s="4" t="s">
        <v>2</v>
      </c>
    </row>
    <row r="5" customFormat="false" ht="27.75" hidden="false" customHeight="true" outlineLevel="0" collapsed="false">
      <c r="B5" s="5" t="s">
        <v>3</v>
      </c>
      <c r="C5" s="5"/>
      <c r="D5" s="5"/>
      <c r="E5" s="5"/>
      <c r="F5" s="5"/>
    </row>
    <row r="7" customFormat="false" ht="15" hidden="false" customHeight="false" outlineLevel="0" collapsed="false">
      <c r="B7" s="6" t="s">
        <v>4</v>
      </c>
    </row>
    <row r="8" customFormat="false" ht="60" hidden="false" customHeight="true" outlineLevel="0" collapsed="false">
      <c r="B8" s="7" t="s">
        <v>5</v>
      </c>
      <c r="C8" s="7"/>
      <c r="D8" s="7"/>
      <c r="E8" s="7"/>
      <c r="F8" s="7"/>
    </row>
    <row r="10" customFormat="false" ht="15" hidden="false" customHeight="false" outlineLevel="0" collapsed="false">
      <c r="B10" s="6" t="s">
        <v>6</v>
      </c>
    </row>
    <row r="11" customFormat="false" ht="25.5" hidden="false" customHeight="true" outlineLevel="0" collapsed="false">
      <c r="B11" s="8" t="s">
        <v>7</v>
      </c>
      <c r="C11" s="7" t="s">
        <v>8</v>
      </c>
      <c r="D11" s="7"/>
      <c r="E11" s="7"/>
      <c r="F11" s="7"/>
    </row>
    <row r="12" customFormat="false" ht="25.5" hidden="false" customHeight="true" outlineLevel="0" collapsed="false">
      <c r="B12" s="8" t="s">
        <v>9</v>
      </c>
      <c r="C12" s="7" t="s">
        <v>10</v>
      </c>
      <c r="D12" s="7"/>
      <c r="E12" s="7"/>
      <c r="F12" s="7"/>
    </row>
    <row r="13" customFormat="false" ht="39.75" hidden="false" customHeight="true" outlineLevel="0" collapsed="false">
      <c r="B13" s="8" t="s">
        <v>11</v>
      </c>
      <c r="C13" s="7" t="s">
        <v>12</v>
      </c>
      <c r="D13" s="7"/>
      <c r="E13" s="7"/>
      <c r="F13" s="7"/>
    </row>
    <row r="14" customFormat="false" ht="39.75" hidden="false" customHeight="true" outlineLevel="0" collapsed="false">
      <c r="B14" s="8" t="s">
        <v>13</v>
      </c>
      <c r="C14" s="7" t="s">
        <v>14</v>
      </c>
      <c r="D14" s="7"/>
      <c r="E14" s="7"/>
      <c r="F14" s="7"/>
    </row>
    <row r="15" customFormat="false" ht="25.5" hidden="false" customHeight="true" outlineLevel="0" collapsed="false">
      <c r="B15" s="8" t="s">
        <v>15</v>
      </c>
      <c r="C15" s="7" t="s">
        <v>16</v>
      </c>
      <c r="D15" s="7"/>
      <c r="E15" s="7"/>
      <c r="F15" s="7"/>
    </row>
    <row r="16" customFormat="false" ht="25.5" hidden="false" customHeight="true" outlineLevel="0" collapsed="false">
      <c r="B16" s="8" t="s">
        <v>17</v>
      </c>
      <c r="C16" s="7" t="s">
        <v>18</v>
      </c>
      <c r="D16" s="7"/>
      <c r="E16" s="7"/>
      <c r="F16" s="7"/>
    </row>
    <row r="17" customFormat="false" ht="25.5" hidden="false" customHeight="true" outlineLevel="0" collapsed="false">
      <c r="B17" s="8" t="s">
        <v>19</v>
      </c>
      <c r="C17" s="7" t="s">
        <v>20</v>
      </c>
      <c r="D17" s="7"/>
      <c r="E17" s="7"/>
      <c r="F17" s="7"/>
    </row>
    <row r="18" customFormat="false" ht="25.5" hidden="false" customHeight="true" outlineLevel="0" collapsed="false">
      <c r="B18" s="8" t="s">
        <v>21</v>
      </c>
      <c r="C18" s="7" t="s">
        <v>22</v>
      </c>
      <c r="D18" s="7"/>
      <c r="E18" s="7"/>
      <c r="F18" s="7"/>
    </row>
    <row r="19" customFormat="false" ht="25.5" hidden="false" customHeight="true" outlineLevel="0" collapsed="false">
      <c r="B19" s="8" t="s">
        <v>23</v>
      </c>
      <c r="C19" s="7" t="s">
        <v>24</v>
      </c>
      <c r="D19" s="7"/>
      <c r="E19" s="7"/>
      <c r="F19" s="7"/>
    </row>
    <row r="20" customFormat="false" ht="25.5" hidden="false" customHeight="true" outlineLevel="0" collapsed="false">
      <c r="B20" s="8" t="s">
        <v>25</v>
      </c>
      <c r="C20" s="7" t="s">
        <v>26</v>
      </c>
      <c r="D20" s="7"/>
      <c r="E20" s="7"/>
      <c r="F20" s="7"/>
    </row>
    <row r="21" customFormat="false" ht="25.5" hidden="false" customHeight="true" outlineLevel="0" collapsed="false">
      <c r="B21" s="8" t="s">
        <v>27</v>
      </c>
      <c r="C21" s="7" t="s">
        <v>28</v>
      </c>
      <c r="D21" s="7"/>
      <c r="E21" s="7"/>
      <c r="F21" s="7"/>
    </row>
    <row r="23" customFormat="false" ht="15" hidden="false" customHeight="false" outlineLevel="0" collapsed="false">
      <c r="B23" s="6" t="s">
        <v>29</v>
      </c>
      <c r="F23" s="6" t="s">
        <v>30</v>
      </c>
    </row>
    <row r="24" customFormat="false" ht="15" hidden="false" customHeight="false" outlineLevel="0" collapsed="false">
      <c r="B24" s="9" t="s">
        <v>9</v>
      </c>
      <c r="C24" s="9" t="s">
        <v>31</v>
      </c>
      <c r="D24" s="9" t="s">
        <v>32</v>
      </c>
      <c r="E24" s="9" t="s">
        <v>33</v>
      </c>
      <c r="F24" s="9" t="s">
        <v>25</v>
      </c>
    </row>
    <row r="25" customFormat="false" ht="15" hidden="false" customHeight="false" outlineLevel="0" collapsed="false">
      <c r="B25" s="10" t="s">
        <v>34</v>
      </c>
      <c r="C25" s="11" t="n">
        <f aca="false">COUNTIF('Gap Register'!$B$2:$B$65,$B25)</f>
        <v>4</v>
      </c>
      <c r="D25" s="11" t="n">
        <f aca="false">COUNTIFS('Gap Register'!$B$2:$B$65,$B25,'Gap Register'!$J$2:$J$65,"High")</f>
        <v>3</v>
      </c>
      <c r="E25" s="11" t="n">
        <f aca="false">C25-D25</f>
        <v>1</v>
      </c>
      <c r="F25" s="10" t="s">
        <v>32</v>
      </c>
      <c r="G25" s="11" t="n">
        <f aca="false">COUNTIF('Gap Register'!$J$2:$J$65,"High")</f>
        <v>50</v>
      </c>
    </row>
    <row r="26" customFormat="false" ht="15" hidden="false" customHeight="false" outlineLevel="0" collapsed="false">
      <c r="B26" s="10" t="s">
        <v>35</v>
      </c>
      <c r="C26" s="11" t="n">
        <f aca="false">COUNTIF('Gap Register'!$B$2:$B$65,$B26)</f>
        <v>2</v>
      </c>
      <c r="D26" s="11" t="n">
        <f aca="false">COUNTIFS('Gap Register'!$B$2:$B$65,$B26,'Gap Register'!$J$2:$J$65,"High")</f>
        <v>2</v>
      </c>
      <c r="E26" s="11" t="n">
        <f aca="false">C26-D26</f>
        <v>0</v>
      </c>
      <c r="F26" s="10" t="s">
        <v>36</v>
      </c>
      <c r="G26" s="11" t="n">
        <f aca="false">COUNTIF('Gap Register'!$J$2:$J$65,"Medium")</f>
        <v>14</v>
      </c>
    </row>
    <row r="27" customFormat="false" ht="15" hidden="false" customHeight="false" outlineLevel="0" collapsed="false">
      <c r="B27" s="10" t="s">
        <v>37</v>
      </c>
      <c r="C27" s="11" t="n">
        <f aca="false">COUNTIF('Gap Register'!$B$2:$B$65,$B27)</f>
        <v>6</v>
      </c>
      <c r="D27" s="11" t="n">
        <f aca="false">COUNTIFS('Gap Register'!$B$2:$B$65,$B27,'Gap Register'!$J$2:$J$65,"High")</f>
        <v>5</v>
      </c>
      <c r="E27" s="11" t="n">
        <f aca="false">C27-D27</f>
        <v>1</v>
      </c>
      <c r="F27" s="10" t="s">
        <v>38</v>
      </c>
      <c r="G27" s="11" t="n">
        <f aca="false">COUNTIF('Gap Register'!$J$2:$J$65,"Low")</f>
        <v>0</v>
      </c>
    </row>
    <row r="28" customFormat="false" ht="15" hidden="false" customHeight="false" outlineLevel="0" collapsed="false">
      <c r="B28" s="10" t="s">
        <v>39</v>
      </c>
      <c r="C28" s="11" t="n">
        <f aca="false">COUNTIF('Gap Register'!$B$2:$B$65,$B28)</f>
        <v>4</v>
      </c>
      <c r="D28" s="11" t="n">
        <f aca="false">COUNTIFS('Gap Register'!$B$2:$B$65,$B28,'Gap Register'!$J$2:$J$65,"High")</f>
        <v>3</v>
      </c>
      <c r="E28" s="11" t="n">
        <f aca="false">C28-D28</f>
        <v>1</v>
      </c>
      <c r="F28" s="12" t="s">
        <v>31</v>
      </c>
      <c r="G28" s="13" t="n">
        <f aca="false">SUM(G25:G27)</f>
        <v>64</v>
      </c>
    </row>
    <row r="29" customFormat="false" ht="15" hidden="false" customHeight="false" outlineLevel="0" collapsed="false">
      <c r="B29" s="10" t="s">
        <v>40</v>
      </c>
      <c r="C29" s="11" t="n">
        <f aca="false">COUNTIF('Gap Register'!$B$2:$B$65,$B29)</f>
        <v>3</v>
      </c>
      <c r="D29" s="11" t="n">
        <f aca="false">COUNTIFS('Gap Register'!$B$2:$B$65,$B29,'Gap Register'!$J$2:$J$65,"High")</f>
        <v>1</v>
      </c>
      <c r="E29" s="11" t="n">
        <f aca="false">C29-D29</f>
        <v>2</v>
      </c>
    </row>
    <row r="30" customFormat="false" ht="15" hidden="false" customHeight="false" outlineLevel="0" collapsed="false">
      <c r="B30" s="10" t="s">
        <v>41</v>
      </c>
      <c r="C30" s="11" t="n">
        <f aca="false">COUNTIF('Gap Register'!$B$2:$B$65,$B30)</f>
        <v>3</v>
      </c>
      <c r="D30" s="11" t="n">
        <f aca="false">COUNTIFS('Gap Register'!$B$2:$B$65,$B30,'Gap Register'!$J$2:$J$65,"High")</f>
        <v>3</v>
      </c>
      <c r="E30" s="11" t="n">
        <f aca="false">C30-D30</f>
        <v>0</v>
      </c>
      <c r="F30" s="6" t="s">
        <v>42</v>
      </c>
    </row>
    <row r="31" customFormat="false" ht="15" hidden="false" customHeight="false" outlineLevel="0" collapsed="false">
      <c r="B31" s="10" t="s">
        <v>43</v>
      </c>
      <c r="C31" s="11" t="n">
        <f aca="false">COUNTIF('Gap Register'!$B$2:$B$65,$B31)</f>
        <v>11</v>
      </c>
      <c r="D31" s="11" t="n">
        <f aca="false">COUNTIFS('Gap Register'!$B$2:$B$65,$B31,'Gap Register'!$J$2:$J$65,"High")</f>
        <v>8</v>
      </c>
      <c r="E31" s="11" t="n">
        <f aca="false">C31-D31</f>
        <v>3</v>
      </c>
      <c r="F31" s="9" t="s">
        <v>13</v>
      </c>
    </row>
    <row r="32" customFormat="false" ht="15" hidden="false" customHeight="false" outlineLevel="0" collapsed="false">
      <c r="B32" s="10" t="s">
        <v>44</v>
      </c>
      <c r="C32" s="11" t="n">
        <f aca="false">COUNTIF('Gap Register'!$B$2:$B$65,$B32)</f>
        <v>4</v>
      </c>
      <c r="D32" s="11" t="n">
        <f aca="false">COUNTIFS('Gap Register'!$B$2:$B$65,$B32,'Gap Register'!$J$2:$J$65,"High")</f>
        <v>4</v>
      </c>
      <c r="E32" s="11" t="n">
        <f aca="false">C32-D32</f>
        <v>0</v>
      </c>
      <c r="F32" s="10" t="s">
        <v>45</v>
      </c>
      <c r="G32" s="11" t="n">
        <f aca="false">COUNTIF('Gap Register'!$D$2:$D$65,"Undocumented decision")</f>
        <v>2</v>
      </c>
    </row>
    <row r="33" customFormat="false" ht="15" hidden="false" customHeight="false" outlineLevel="0" collapsed="false">
      <c r="B33" s="10" t="s">
        <v>46</v>
      </c>
      <c r="C33" s="11" t="n">
        <f aca="false">COUNTIF('Gap Register'!$B$2:$B$65,$B33)</f>
        <v>8</v>
      </c>
      <c r="D33" s="11" t="n">
        <f aca="false">COUNTIFS('Gap Register'!$B$2:$B$65,$B33,'Gap Register'!$J$2:$J$65,"High")</f>
        <v>7</v>
      </c>
      <c r="E33" s="11" t="n">
        <f aca="false">C33-D33</f>
        <v>1</v>
      </c>
      <c r="F33" s="10" t="s">
        <v>47</v>
      </c>
      <c r="G33" s="11" t="n">
        <f aca="false">COUNTIF('Gap Register'!$D$2:$D$65,"Missing decision")</f>
        <v>38</v>
      </c>
    </row>
    <row r="34" customFormat="false" ht="15" hidden="false" customHeight="false" outlineLevel="0" collapsed="false">
      <c r="B34" s="10" t="s">
        <v>48</v>
      </c>
      <c r="C34" s="11" t="n">
        <f aca="false">COUNTIF('Gap Register'!$B$2:$B$65,$B34)</f>
        <v>3</v>
      </c>
      <c r="D34" s="11" t="n">
        <f aca="false">COUNTIFS('Gap Register'!$B$2:$B$65,$B34,'Gap Register'!$J$2:$J$65,"High")</f>
        <v>3</v>
      </c>
      <c r="E34" s="11" t="n">
        <f aca="false">C34-D34</f>
        <v>0</v>
      </c>
      <c r="F34" s="10" t="s">
        <v>49</v>
      </c>
      <c r="G34" s="11" t="n">
        <f aca="false">COUNTIF('Gap Register'!$D$2:$D$65,"Missing input")</f>
        <v>18</v>
      </c>
    </row>
    <row r="35" customFormat="false" ht="15" hidden="false" customHeight="false" outlineLevel="0" collapsed="false">
      <c r="B35" s="10" t="s">
        <v>50</v>
      </c>
      <c r="C35" s="11" t="n">
        <f aca="false">COUNTIF('Gap Register'!$B$2:$B$65,$B35)</f>
        <v>2</v>
      </c>
      <c r="D35" s="11" t="n">
        <f aca="false">COUNTIFS('Gap Register'!$B$2:$B$65,$B35,'Gap Register'!$J$2:$J$65,"High")</f>
        <v>1</v>
      </c>
      <c r="E35" s="11" t="n">
        <f aca="false">C35-D35</f>
        <v>1</v>
      </c>
      <c r="F35" s="10" t="s">
        <v>51</v>
      </c>
      <c r="G35" s="11" t="n">
        <f aca="false">COUNTIF('Gap Register'!$D$2:$D$65,"Open item in doc")</f>
        <v>6</v>
      </c>
    </row>
    <row r="36" customFormat="false" ht="15" hidden="false" customHeight="false" outlineLevel="0" collapsed="false">
      <c r="B36" s="10" t="s">
        <v>52</v>
      </c>
      <c r="C36" s="11" t="n">
        <f aca="false">COUNTIF('Gap Register'!$B$2:$B$65,$B36)</f>
        <v>5</v>
      </c>
      <c r="D36" s="11" t="n">
        <f aca="false">COUNTIFS('Gap Register'!$B$2:$B$65,$B36,'Gap Register'!$J$2:$J$65,"High")</f>
        <v>3</v>
      </c>
      <c r="E36" s="11" t="n">
        <f aca="false">C36-D36</f>
        <v>2</v>
      </c>
      <c r="F36" s="12" t="s">
        <v>31</v>
      </c>
      <c r="G36" s="13" t="n">
        <f aca="false">SUM(G32:G35)</f>
        <v>64</v>
      </c>
    </row>
    <row r="37" customFormat="false" ht="15" hidden="false" customHeight="false" outlineLevel="0" collapsed="false">
      <c r="B37" s="10" t="s">
        <v>53</v>
      </c>
      <c r="C37" s="11" t="n">
        <f aca="false">COUNTIF('Gap Register'!$B$2:$B$65,$B37)</f>
        <v>7</v>
      </c>
      <c r="D37" s="11" t="n">
        <f aca="false">COUNTIFS('Gap Register'!$B$2:$B$65,$B37,'Gap Register'!$J$2:$J$65,"High")</f>
        <v>7</v>
      </c>
      <c r="E37" s="11" t="n">
        <f aca="false">C37-D37</f>
        <v>0</v>
      </c>
    </row>
    <row r="38" customFormat="false" ht="15" hidden="false" customHeight="false" outlineLevel="0" collapsed="false">
      <c r="B38" s="10" t="s">
        <v>54</v>
      </c>
      <c r="C38" s="11" t="n">
        <f aca="false">COUNTIF('Gap Register'!$B$2:$B$65,$B38)</f>
        <v>2</v>
      </c>
      <c r="D38" s="11" t="n">
        <f aca="false">COUNTIFS('Gap Register'!$B$2:$B$65,$B38,'Gap Register'!$J$2:$J$65,"High")</f>
        <v>0</v>
      </c>
      <c r="E38" s="11" t="n">
        <f aca="false">C38-D38</f>
        <v>2</v>
      </c>
    </row>
    <row r="39" customFormat="false" ht="15" hidden="false" customHeight="false" outlineLevel="0" collapsed="false">
      <c r="B39" s="12" t="s">
        <v>31</v>
      </c>
      <c r="C39" s="13" t="n">
        <f aca="false">SUM(C25:C38)</f>
        <v>64</v>
      </c>
      <c r="D39" s="13" t="n">
        <f aca="false">SUM(D25:D38)</f>
        <v>50</v>
      </c>
      <c r="E39" s="13" t="n">
        <f aca="false">SUM(E25:E38)</f>
        <v>14</v>
      </c>
    </row>
    <row r="41" customFormat="false" ht="15" hidden="false" customHeight="true" outlineLevel="0" collapsed="false">
      <c r="B41" s="5" t="s">
        <v>55</v>
      </c>
      <c r="C41" s="5"/>
      <c r="D41" s="5"/>
      <c r="E41" s="5"/>
      <c r="F41" s="5"/>
      <c r="G41" s="5"/>
    </row>
  </sheetData>
  <mergeCells count="14">
    <mergeCell ref="B5:F5"/>
    <mergeCell ref="B8:F8"/>
    <mergeCell ref="C11:F11"/>
    <mergeCell ref="C12:F12"/>
    <mergeCell ref="C13:F13"/>
    <mergeCell ref="C14:F14"/>
    <mergeCell ref="C15:F15"/>
    <mergeCell ref="C16:F16"/>
    <mergeCell ref="C17:F17"/>
    <mergeCell ref="C18:F18"/>
    <mergeCell ref="C19:F19"/>
    <mergeCell ref="C20:F20"/>
    <mergeCell ref="C21:F21"/>
    <mergeCell ref="B41:G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5"/>
    <col collapsed="false" customWidth="true" hidden="false" outlineLevel="0" max="2" min="2" style="1" width="24"/>
    <col collapsed="false" customWidth="true" hidden="false" outlineLevel="0" max="3" min="3" style="1" width="52"/>
    <col collapsed="false" customWidth="true" hidden="false" outlineLevel="0" max="4" min="4" style="1" width="20"/>
    <col collapsed="false" customWidth="true" hidden="false" outlineLevel="0" max="5" min="5" style="1" width="52"/>
    <col collapsed="false" customWidth="true" hidden="false" outlineLevel="0" max="6" min="6" style="1" width="74"/>
    <col collapsed="false" customWidth="true" hidden="false" outlineLevel="0" max="7" min="7" style="1" width="48"/>
    <col collapsed="false" customWidth="true" hidden="false" outlineLevel="0" max="8" min="8" style="1" width="30"/>
    <col collapsed="false" customWidth="true" hidden="false" outlineLevel="0" max="9" min="9" style="1" width="18"/>
    <col collapsed="false" customWidth="true" hidden="false" outlineLevel="0" max="10" min="10" style="1" width="10"/>
    <col collapsed="false" customWidth="true" hidden="false" outlineLevel="0" max="11" min="11" style="1" width="9"/>
  </cols>
  <sheetData>
    <row r="1" customFormat="false" ht="30" hidden="false" customHeight="true" outlineLevel="0" collapsed="false">
      <c r="A1" s="14" t="s">
        <v>7</v>
      </c>
      <c r="B1" s="14" t="s">
        <v>9</v>
      </c>
      <c r="C1" s="14" t="s">
        <v>11</v>
      </c>
      <c r="D1" s="14" t="s">
        <v>13</v>
      </c>
      <c r="E1" s="14" t="s">
        <v>15</v>
      </c>
      <c r="F1" s="14" t="s">
        <v>17</v>
      </c>
      <c r="G1" s="14" t="s">
        <v>19</v>
      </c>
      <c r="H1" s="14" t="s">
        <v>21</v>
      </c>
      <c r="I1" s="14" t="s">
        <v>23</v>
      </c>
      <c r="J1" s="14" t="s">
        <v>25</v>
      </c>
      <c r="K1" s="14" t="s">
        <v>27</v>
      </c>
    </row>
    <row r="2" customFormat="false" ht="135.8" hidden="false" customHeight="false" outlineLevel="0" collapsed="false">
      <c r="A2" s="15" t="s">
        <v>56</v>
      </c>
      <c r="B2" s="16" t="s">
        <v>43</v>
      </c>
      <c r="C2" s="16" t="s">
        <v>57</v>
      </c>
      <c r="D2" s="11" t="s">
        <v>45</v>
      </c>
      <c r="E2" s="16" t="s">
        <v>58</v>
      </c>
      <c r="F2" s="16" t="s">
        <v>59</v>
      </c>
      <c r="G2" s="16" t="s">
        <v>60</v>
      </c>
      <c r="H2" s="16" t="s">
        <v>61</v>
      </c>
      <c r="I2" s="16" t="s">
        <v>62</v>
      </c>
      <c r="J2" s="17" t="s">
        <v>32</v>
      </c>
      <c r="K2" s="11" t="s">
        <v>63</v>
      </c>
    </row>
    <row r="3" customFormat="false" ht="68.65" hidden="false" customHeight="false" outlineLevel="0" collapsed="false">
      <c r="A3" s="15" t="s">
        <v>64</v>
      </c>
      <c r="B3" s="16" t="s">
        <v>34</v>
      </c>
      <c r="C3" s="16" t="s">
        <v>65</v>
      </c>
      <c r="D3" s="11" t="s">
        <v>49</v>
      </c>
      <c r="E3" s="16" t="s">
        <v>66</v>
      </c>
      <c r="F3" s="16" t="s">
        <v>67</v>
      </c>
      <c r="G3" s="16"/>
      <c r="H3" s="16" t="s">
        <v>68</v>
      </c>
      <c r="I3" s="16" t="s">
        <v>69</v>
      </c>
      <c r="J3" s="17" t="s">
        <v>32</v>
      </c>
      <c r="K3" s="11" t="s">
        <v>63</v>
      </c>
    </row>
    <row r="4" customFormat="false" ht="79.85" hidden="false" customHeight="false" outlineLevel="0" collapsed="false">
      <c r="A4" s="15" t="s">
        <v>70</v>
      </c>
      <c r="B4" s="16" t="s">
        <v>34</v>
      </c>
      <c r="C4" s="16" t="s">
        <v>71</v>
      </c>
      <c r="D4" s="11" t="s">
        <v>45</v>
      </c>
      <c r="E4" s="16" t="s">
        <v>72</v>
      </c>
      <c r="F4" s="16" t="s">
        <v>73</v>
      </c>
      <c r="G4" s="16" t="s">
        <v>74</v>
      </c>
      <c r="H4" s="16" t="s">
        <v>75</v>
      </c>
      <c r="I4" s="16" t="s">
        <v>62</v>
      </c>
      <c r="J4" s="18" t="s">
        <v>36</v>
      </c>
      <c r="K4" s="11" t="s">
        <v>63</v>
      </c>
    </row>
    <row r="5" customFormat="false" ht="91" hidden="false" customHeight="false" outlineLevel="0" collapsed="false">
      <c r="A5" s="15" t="s">
        <v>76</v>
      </c>
      <c r="B5" s="16" t="s">
        <v>34</v>
      </c>
      <c r="C5" s="16" t="s">
        <v>77</v>
      </c>
      <c r="D5" s="11" t="s">
        <v>51</v>
      </c>
      <c r="E5" s="16" t="s">
        <v>78</v>
      </c>
      <c r="F5" s="16" t="s">
        <v>79</v>
      </c>
      <c r="G5" s="16"/>
      <c r="H5" s="16" t="s">
        <v>80</v>
      </c>
      <c r="I5" s="16" t="s">
        <v>69</v>
      </c>
      <c r="J5" s="17" t="s">
        <v>32</v>
      </c>
      <c r="K5" s="11" t="s">
        <v>63</v>
      </c>
    </row>
    <row r="6" customFormat="false" ht="91" hidden="false" customHeight="false" outlineLevel="0" collapsed="false">
      <c r="A6" s="15" t="s">
        <v>81</v>
      </c>
      <c r="B6" s="16" t="s">
        <v>34</v>
      </c>
      <c r="C6" s="16" t="s">
        <v>82</v>
      </c>
      <c r="D6" s="11" t="s">
        <v>47</v>
      </c>
      <c r="E6" s="16" t="s">
        <v>83</v>
      </c>
      <c r="F6" s="16" t="s">
        <v>84</v>
      </c>
      <c r="G6" s="16"/>
      <c r="H6" s="16" t="s">
        <v>85</v>
      </c>
      <c r="I6" s="16" t="s">
        <v>69</v>
      </c>
      <c r="J6" s="17" t="s">
        <v>32</v>
      </c>
      <c r="K6" s="11" t="s">
        <v>63</v>
      </c>
    </row>
    <row r="7" customFormat="false" ht="91" hidden="false" customHeight="false" outlineLevel="0" collapsed="false">
      <c r="A7" s="19" t="s">
        <v>86</v>
      </c>
      <c r="B7" s="20" t="s">
        <v>35</v>
      </c>
      <c r="C7" s="20" t="s">
        <v>87</v>
      </c>
      <c r="D7" s="21" t="s">
        <v>47</v>
      </c>
      <c r="E7" s="20" t="s">
        <v>88</v>
      </c>
      <c r="F7" s="20" t="s">
        <v>89</v>
      </c>
      <c r="G7" s="20"/>
      <c r="H7" s="20" t="s">
        <v>90</v>
      </c>
      <c r="I7" s="20" t="s">
        <v>69</v>
      </c>
      <c r="J7" s="17" t="s">
        <v>32</v>
      </c>
      <c r="K7" s="21" t="s">
        <v>63</v>
      </c>
    </row>
    <row r="8" customFormat="false" ht="68.65" hidden="false" customHeight="false" outlineLevel="0" collapsed="false">
      <c r="A8" s="19" t="s">
        <v>91</v>
      </c>
      <c r="B8" s="20" t="s">
        <v>35</v>
      </c>
      <c r="C8" s="20" t="s">
        <v>92</v>
      </c>
      <c r="D8" s="21" t="s">
        <v>51</v>
      </c>
      <c r="E8" s="20" t="s">
        <v>93</v>
      </c>
      <c r="F8" s="20" t="s">
        <v>94</v>
      </c>
      <c r="G8" s="20"/>
      <c r="H8" s="20" t="s">
        <v>95</v>
      </c>
      <c r="I8" s="20" t="s">
        <v>69</v>
      </c>
      <c r="J8" s="17" t="s">
        <v>32</v>
      </c>
      <c r="K8" s="21" t="s">
        <v>63</v>
      </c>
    </row>
    <row r="9" customFormat="false" ht="135.8" hidden="false" customHeight="false" outlineLevel="0" collapsed="false">
      <c r="A9" s="15" t="s">
        <v>96</v>
      </c>
      <c r="B9" s="16" t="s">
        <v>37</v>
      </c>
      <c r="C9" s="16" t="s">
        <v>97</v>
      </c>
      <c r="D9" s="11" t="s">
        <v>47</v>
      </c>
      <c r="E9" s="16" t="s">
        <v>98</v>
      </c>
      <c r="F9" s="16" t="s">
        <v>99</v>
      </c>
      <c r="G9" s="16"/>
      <c r="H9" s="16" t="s">
        <v>100</v>
      </c>
      <c r="I9" s="16" t="s">
        <v>62</v>
      </c>
      <c r="J9" s="17" t="s">
        <v>32</v>
      </c>
      <c r="K9" s="11" t="s">
        <v>63</v>
      </c>
    </row>
    <row r="10" customFormat="false" ht="79.85" hidden="false" customHeight="false" outlineLevel="0" collapsed="false">
      <c r="A10" s="15" t="s">
        <v>101</v>
      </c>
      <c r="B10" s="16" t="s">
        <v>37</v>
      </c>
      <c r="C10" s="16" t="s">
        <v>102</v>
      </c>
      <c r="D10" s="11" t="s">
        <v>47</v>
      </c>
      <c r="E10" s="16" t="s">
        <v>103</v>
      </c>
      <c r="F10" s="16" t="s">
        <v>104</v>
      </c>
      <c r="G10" s="16" t="s">
        <v>105</v>
      </c>
      <c r="H10" s="16" t="s">
        <v>106</v>
      </c>
      <c r="I10" s="16" t="s">
        <v>62</v>
      </c>
      <c r="J10" s="17" t="s">
        <v>32</v>
      </c>
      <c r="K10" s="11" t="s">
        <v>63</v>
      </c>
    </row>
    <row r="11" customFormat="false" ht="79.85" hidden="false" customHeight="false" outlineLevel="0" collapsed="false">
      <c r="A11" s="15" t="s">
        <v>107</v>
      </c>
      <c r="B11" s="16" t="s">
        <v>37</v>
      </c>
      <c r="C11" s="16" t="s">
        <v>108</v>
      </c>
      <c r="D11" s="11" t="s">
        <v>47</v>
      </c>
      <c r="E11" s="16" t="s">
        <v>109</v>
      </c>
      <c r="F11" s="16" t="s">
        <v>110</v>
      </c>
      <c r="G11" s="16"/>
      <c r="H11" s="16" t="s">
        <v>111</v>
      </c>
      <c r="I11" s="16" t="s">
        <v>69</v>
      </c>
      <c r="J11" s="17" t="s">
        <v>32</v>
      </c>
      <c r="K11" s="11" t="s">
        <v>63</v>
      </c>
    </row>
    <row r="12" customFormat="false" ht="102.2" hidden="false" customHeight="false" outlineLevel="0" collapsed="false">
      <c r="A12" s="15" t="s">
        <v>112</v>
      </c>
      <c r="B12" s="16" t="s">
        <v>37</v>
      </c>
      <c r="C12" s="16" t="s">
        <v>113</v>
      </c>
      <c r="D12" s="11" t="s">
        <v>47</v>
      </c>
      <c r="E12" s="16" t="s">
        <v>114</v>
      </c>
      <c r="F12" s="16" t="s">
        <v>115</v>
      </c>
      <c r="G12" s="16"/>
      <c r="H12" s="16" t="s">
        <v>116</v>
      </c>
      <c r="I12" s="16" t="s">
        <v>69</v>
      </c>
      <c r="J12" s="17" t="s">
        <v>32</v>
      </c>
      <c r="K12" s="11" t="s">
        <v>63</v>
      </c>
    </row>
    <row r="13" customFormat="false" ht="79.85" hidden="false" customHeight="false" outlineLevel="0" collapsed="false">
      <c r="A13" s="15" t="s">
        <v>117</v>
      </c>
      <c r="B13" s="16" t="s">
        <v>37</v>
      </c>
      <c r="C13" s="16" t="s">
        <v>118</v>
      </c>
      <c r="D13" s="11" t="s">
        <v>47</v>
      </c>
      <c r="E13" s="16" t="s">
        <v>119</v>
      </c>
      <c r="F13" s="16" t="s">
        <v>120</v>
      </c>
      <c r="G13" s="16"/>
      <c r="H13" s="16" t="s">
        <v>121</v>
      </c>
      <c r="I13" s="16" t="s">
        <v>69</v>
      </c>
      <c r="J13" s="18" t="s">
        <v>36</v>
      </c>
      <c r="K13" s="11" t="s">
        <v>63</v>
      </c>
    </row>
    <row r="14" customFormat="false" ht="102.2" hidden="false" customHeight="false" outlineLevel="0" collapsed="false">
      <c r="A14" s="15" t="s">
        <v>122</v>
      </c>
      <c r="B14" s="16" t="s">
        <v>37</v>
      </c>
      <c r="C14" s="16" t="s">
        <v>123</v>
      </c>
      <c r="D14" s="11" t="s">
        <v>49</v>
      </c>
      <c r="E14" s="16" t="s">
        <v>124</v>
      </c>
      <c r="F14" s="16" t="s">
        <v>125</v>
      </c>
      <c r="G14" s="16"/>
      <c r="H14" s="16" t="s">
        <v>126</v>
      </c>
      <c r="I14" s="16" t="s">
        <v>69</v>
      </c>
      <c r="J14" s="17" t="s">
        <v>32</v>
      </c>
      <c r="K14" s="11" t="s">
        <v>63</v>
      </c>
    </row>
    <row r="15" customFormat="false" ht="79.85" hidden="false" customHeight="false" outlineLevel="0" collapsed="false">
      <c r="A15" s="19" t="s">
        <v>127</v>
      </c>
      <c r="B15" s="20" t="s">
        <v>39</v>
      </c>
      <c r="C15" s="20" t="s">
        <v>128</v>
      </c>
      <c r="D15" s="21" t="s">
        <v>47</v>
      </c>
      <c r="E15" s="20" t="s">
        <v>129</v>
      </c>
      <c r="F15" s="20" t="s">
        <v>130</v>
      </c>
      <c r="G15" s="20"/>
      <c r="H15" s="20" t="s">
        <v>131</v>
      </c>
      <c r="I15" s="20" t="s">
        <v>62</v>
      </c>
      <c r="J15" s="17" t="s">
        <v>32</v>
      </c>
      <c r="K15" s="21" t="s">
        <v>63</v>
      </c>
    </row>
    <row r="16" customFormat="false" ht="68.65" hidden="false" customHeight="false" outlineLevel="0" collapsed="false">
      <c r="A16" s="19" t="s">
        <v>132</v>
      </c>
      <c r="B16" s="20" t="s">
        <v>39</v>
      </c>
      <c r="C16" s="20" t="s">
        <v>133</v>
      </c>
      <c r="D16" s="21" t="s">
        <v>49</v>
      </c>
      <c r="E16" s="20" t="s">
        <v>134</v>
      </c>
      <c r="F16" s="20" t="s">
        <v>135</v>
      </c>
      <c r="G16" s="20"/>
      <c r="H16" s="20" t="s">
        <v>136</v>
      </c>
      <c r="I16" s="20" t="s">
        <v>137</v>
      </c>
      <c r="J16" s="17" t="s">
        <v>32</v>
      </c>
      <c r="K16" s="21" t="s">
        <v>63</v>
      </c>
    </row>
    <row r="17" customFormat="false" ht="57.45" hidden="false" customHeight="false" outlineLevel="0" collapsed="false">
      <c r="A17" s="19" t="s">
        <v>138</v>
      </c>
      <c r="B17" s="20" t="s">
        <v>39</v>
      </c>
      <c r="C17" s="20" t="s">
        <v>139</v>
      </c>
      <c r="D17" s="21" t="s">
        <v>47</v>
      </c>
      <c r="E17" s="20" t="s">
        <v>140</v>
      </c>
      <c r="F17" s="20" t="s">
        <v>141</v>
      </c>
      <c r="G17" s="20"/>
      <c r="H17" s="20" t="s">
        <v>142</v>
      </c>
      <c r="I17" s="20" t="s">
        <v>69</v>
      </c>
      <c r="J17" s="17" t="s">
        <v>32</v>
      </c>
      <c r="K17" s="21" t="s">
        <v>63</v>
      </c>
    </row>
    <row r="18" customFormat="false" ht="68.65" hidden="false" customHeight="false" outlineLevel="0" collapsed="false">
      <c r="A18" s="19" t="s">
        <v>143</v>
      </c>
      <c r="B18" s="20" t="s">
        <v>39</v>
      </c>
      <c r="C18" s="20" t="s">
        <v>144</v>
      </c>
      <c r="D18" s="21" t="s">
        <v>47</v>
      </c>
      <c r="E18" s="20" t="s">
        <v>145</v>
      </c>
      <c r="F18" s="20" t="s">
        <v>146</v>
      </c>
      <c r="G18" s="20"/>
      <c r="H18" s="20" t="s">
        <v>147</v>
      </c>
      <c r="I18" s="20" t="s">
        <v>69</v>
      </c>
      <c r="J18" s="18" t="s">
        <v>36</v>
      </c>
      <c r="K18" s="21" t="s">
        <v>63</v>
      </c>
    </row>
    <row r="19" customFormat="false" ht="102.2" hidden="false" customHeight="false" outlineLevel="0" collapsed="false">
      <c r="A19" s="15" t="s">
        <v>148</v>
      </c>
      <c r="B19" s="16" t="s">
        <v>40</v>
      </c>
      <c r="C19" s="16" t="s">
        <v>149</v>
      </c>
      <c r="D19" s="11" t="s">
        <v>51</v>
      </c>
      <c r="E19" s="16" t="s">
        <v>150</v>
      </c>
      <c r="F19" s="16" t="s">
        <v>151</v>
      </c>
      <c r="G19" s="16"/>
      <c r="H19" s="16" t="s">
        <v>152</v>
      </c>
      <c r="I19" s="16" t="s">
        <v>69</v>
      </c>
      <c r="J19" s="17" t="s">
        <v>32</v>
      </c>
      <c r="K19" s="11" t="s">
        <v>63</v>
      </c>
    </row>
    <row r="20" customFormat="false" ht="79.85" hidden="false" customHeight="false" outlineLevel="0" collapsed="false">
      <c r="A20" s="15" t="s">
        <v>153</v>
      </c>
      <c r="B20" s="16" t="s">
        <v>40</v>
      </c>
      <c r="C20" s="16" t="s">
        <v>154</v>
      </c>
      <c r="D20" s="11" t="s">
        <v>47</v>
      </c>
      <c r="E20" s="16" t="s">
        <v>155</v>
      </c>
      <c r="F20" s="16" t="s">
        <v>156</v>
      </c>
      <c r="G20" s="16"/>
      <c r="H20" s="16" t="s">
        <v>157</v>
      </c>
      <c r="I20" s="16" t="s">
        <v>62</v>
      </c>
      <c r="J20" s="18" t="s">
        <v>36</v>
      </c>
      <c r="K20" s="11" t="s">
        <v>63</v>
      </c>
    </row>
    <row r="21" customFormat="false" ht="68.65" hidden="false" customHeight="false" outlineLevel="0" collapsed="false">
      <c r="A21" s="15" t="s">
        <v>158</v>
      </c>
      <c r="B21" s="16" t="s">
        <v>40</v>
      </c>
      <c r="C21" s="16" t="s">
        <v>159</v>
      </c>
      <c r="D21" s="11" t="s">
        <v>49</v>
      </c>
      <c r="E21" s="16" t="s">
        <v>160</v>
      </c>
      <c r="F21" s="16" t="s">
        <v>161</v>
      </c>
      <c r="G21" s="16" t="s">
        <v>162</v>
      </c>
      <c r="H21" s="16" t="s">
        <v>163</v>
      </c>
      <c r="I21" s="16" t="s">
        <v>69</v>
      </c>
      <c r="J21" s="18" t="s">
        <v>36</v>
      </c>
      <c r="K21" s="11" t="s">
        <v>63</v>
      </c>
    </row>
    <row r="22" customFormat="false" ht="102.2" hidden="false" customHeight="false" outlineLevel="0" collapsed="false">
      <c r="A22" s="19" t="s">
        <v>164</v>
      </c>
      <c r="B22" s="20" t="s">
        <v>41</v>
      </c>
      <c r="C22" s="20" t="s">
        <v>165</v>
      </c>
      <c r="D22" s="21" t="s">
        <v>47</v>
      </c>
      <c r="E22" s="20" t="s">
        <v>166</v>
      </c>
      <c r="F22" s="20" t="s">
        <v>167</v>
      </c>
      <c r="G22" s="20"/>
      <c r="H22" s="20" t="s">
        <v>168</v>
      </c>
      <c r="I22" s="20" t="s">
        <v>69</v>
      </c>
      <c r="J22" s="17" t="s">
        <v>32</v>
      </c>
      <c r="K22" s="21" t="s">
        <v>63</v>
      </c>
    </row>
    <row r="23" customFormat="false" ht="57.45" hidden="false" customHeight="false" outlineLevel="0" collapsed="false">
      <c r="A23" s="19" t="s">
        <v>169</v>
      </c>
      <c r="B23" s="20" t="s">
        <v>41</v>
      </c>
      <c r="C23" s="20" t="s">
        <v>170</v>
      </c>
      <c r="D23" s="21" t="s">
        <v>49</v>
      </c>
      <c r="E23" s="20" t="s">
        <v>171</v>
      </c>
      <c r="F23" s="20" t="s">
        <v>172</v>
      </c>
      <c r="G23" s="20" t="s">
        <v>173</v>
      </c>
      <c r="H23" s="20" t="s">
        <v>174</v>
      </c>
      <c r="I23" s="20" t="s">
        <v>69</v>
      </c>
      <c r="J23" s="17" t="s">
        <v>32</v>
      </c>
      <c r="K23" s="21" t="s">
        <v>63</v>
      </c>
    </row>
    <row r="24" customFormat="false" ht="91" hidden="false" customHeight="false" outlineLevel="0" collapsed="false">
      <c r="A24" s="19" t="s">
        <v>175</v>
      </c>
      <c r="B24" s="20" t="s">
        <v>41</v>
      </c>
      <c r="C24" s="20" t="s">
        <v>176</v>
      </c>
      <c r="D24" s="21" t="s">
        <v>47</v>
      </c>
      <c r="E24" s="20" t="s">
        <v>177</v>
      </c>
      <c r="F24" s="20" t="s">
        <v>178</v>
      </c>
      <c r="G24" s="20"/>
      <c r="H24" s="20" t="s">
        <v>179</v>
      </c>
      <c r="I24" s="20" t="s">
        <v>62</v>
      </c>
      <c r="J24" s="17" t="s">
        <v>32</v>
      </c>
      <c r="K24" s="21" t="s">
        <v>63</v>
      </c>
    </row>
    <row r="25" customFormat="false" ht="113.4" hidden="false" customHeight="false" outlineLevel="0" collapsed="false">
      <c r="A25" s="15" t="s">
        <v>180</v>
      </c>
      <c r="B25" s="16" t="s">
        <v>43</v>
      </c>
      <c r="C25" s="16" t="s">
        <v>181</v>
      </c>
      <c r="D25" s="11" t="s">
        <v>47</v>
      </c>
      <c r="E25" s="16" t="s">
        <v>182</v>
      </c>
      <c r="F25" s="16" t="s">
        <v>183</v>
      </c>
      <c r="G25" s="16"/>
      <c r="H25" s="16" t="s">
        <v>61</v>
      </c>
      <c r="I25" s="16" t="s">
        <v>62</v>
      </c>
      <c r="J25" s="17" t="s">
        <v>32</v>
      </c>
      <c r="K25" s="11" t="s">
        <v>63</v>
      </c>
    </row>
    <row r="26" customFormat="false" ht="79.85" hidden="false" customHeight="false" outlineLevel="0" collapsed="false">
      <c r="A26" s="15" t="s">
        <v>184</v>
      </c>
      <c r="B26" s="16" t="s">
        <v>43</v>
      </c>
      <c r="C26" s="16" t="s">
        <v>185</v>
      </c>
      <c r="D26" s="11" t="s">
        <v>47</v>
      </c>
      <c r="E26" s="16" t="s">
        <v>186</v>
      </c>
      <c r="F26" s="16" t="s">
        <v>187</v>
      </c>
      <c r="G26" s="16" t="s">
        <v>188</v>
      </c>
      <c r="H26" s="16" t="s">
        <v>189</v>
      </c>
      <c r="I26" s="16" t="s">
        <v>62</v>
      </c>
      <c r="J26" s="17" t="s">
        <v>32</v>
      </c>
      <c r="K26" s="11" t="s">
        <v>63</v>
      </c>
    </row>
    <row r="27" customFormat="false" ht="79.85" hidden="false" customHeight="false" outlineLevel="0" collapsed="false">
      <c r="A27" s="15" t="s">
        <v>190</v>
      </c>
      <c r="B27" s="16" t="s">
        <v>43</v>
      </c>
      <c r="C27" s="16" t="s">
        <v>191</v>
      </c>
      <c r="D27" s="11" t="s">
        <v>47</v>
      </c>
      <c r="E27" s="16" t="s">
        <v>192</v>
      </c>
      <c r="F27" s="16" t="s">
        <v>193</v>
      </c>
      <c r="G27" s="16"/>
      <c r="H27" s="16" t="s">
        <v>194</v>
      </c>
      <c r="I27" s="16" t="s">
        <v>69</v>
      </c>
      <c r="J27" s="17" t="s">
        <v>32</v>
      </c>
      <c r="K27" s="11" t="s">
        <v>63</v>
      </c>
    </row>
    <row r="28" customFormat="false" ht="68.65" hidden="false" customHeight="false" outlineLevel="0" collapsed="false">
      <c r="A28" s="15" t="s">
        <v>195</v>
      </c>
      <c r="B28" s="16" t="s">
        <v>43</v>
      </c>
      <c r="C28" s="16" t="s">
        <v>196</v>
      </c>
      <c r="D28" s="11" t="s">
        <v>47</v>
      </c>
      <c r="E28" s="16" t="s">
        <v>197</v>
      </c>
      <c r="F28" s="16" t="s">
        <v>198</v>
      </c>
      <c r="G28" s="16"/>
      <c r="H28" s="16" t="s">
        <v>199</v>
      </c>
      <c r="I28" s="16" t="s">
        <v>69</v>
      </c>
      <c r="J28" s="18" t="s">
        <v>36</v>
      </c>
      <c r="K28" s="11" t="s">
        <v>63</v>
      </c>
    </row>
    <row r="29" customFormat="false" ht="91" hidden="false" customHeight="false" outlineLevel="0" collapsed="false">
      <c r="A29" s="15" t="s">
        <v>200</v>
      </c>
      <c r="B29" s="16" t="s">
        <v>43</v>
      </c>
      <c r="C29" s="16" t="s">
        <v>201</v>
      </c>
      <c r="D29" s="11" t="s">
        <v>47</v>
      </c>
      <c r="E29" s="16" t="s">
        <v>202</v>
      </c>
      <c r="F29" s="16" t="s">
        <v>203</v>
      </c>
      <c r="G29" s="16"/>
      <c r="H29" s="16" t="s">
        <v>204</v>
      </c>
      <c r="I29" s="16" t="s">
        <v>69</v>
      </c>
      <c r="J29" s="17" t="s">
        <v>32</v>
      </c>
      <c r="K29" s="11" t="s">
        <v>63</v>
      </c>
    </row>
    <row r="30" customFormat="false" ht="68.65" hidden="false" customHeight="false" outlineLevel="0" collapsed="false">
      <c r="A30" s="15" t="s">
        <v>205</v>
      </c>
      <c r="B30" s="16" t="s">
        <v>43</v>
      </c>
      <c r="C30" s="16" t="s">
        <v>206</v>
      </c>
      <c r="D30" s="11" t="s">
        <v>49</v>
      </c>
      <c r="E30" s="16" t="s">
        <v>207</v>
      </c>
      <c r="F30" s="16" t="s">
        <v>208</v>
      </c>
      <c r="G30" s="16" t="s">
        <v>209</v>
      </c>
      <c r="H30" s="16" t="s">
        <v>210</v>
      </c>
      <c r="I30" s="16" t="s">
        <v>69</v>
      </c>
      <c r="J30" s="17" t="s">
        <v>32</v>
      </c>
      <c r="K30" s="11" t="s">
        <v>63</v>
      </c>
    </row>
    <row r="31" customFormat="false" ht="79.85" hidden="false" customHeight="false" outlineLevel="0" collapsed="false">
      <c r="A31" s="15" t="s">
        <v>211</v>
      </c>
      <c r="B31" s="16" t="s">
        <v>43</v>
      </c>
      <c r="C31" s="16" t="s">
        <v>212</v>
      </c>
      <c r="D31" s="11" t="s">
        <v>47</v>
      </c>
      <c r="E31" s="16" t="s">
        <v>213</v>
      </c>
      <c r="F31" s="16" t="s">
        <v>214</v>
      </c>
      <c r="G31" s="16"/>
      <c r="H31" s="16" t="s">
        <v>215</v>
      </c>
      <c r="I31" s="16" t="s">
        <v>69</v>
      </c>
      <c r="J31" s="17" t="s">
        <v>32</v>
      </c>
      <c r="K31" s="11" t="s">
        <v>63</v>
      </c>
    </row>
    <row r="32" customFormat="false" ht="68.65" hidden="false" customHeight="false" outlineLevel="0" collapsed="false">
      <c r="A32" s="15" t="s">
        <v>216</v>
      </c>
      <c r="B32" s="16" t="s">
        <v>43</v>
      </c>
      <c r="C32" s="16" t="s">
        <v>217</v>
      </c>
      <c r="D32" s="11" t="s">
        <v>49</v>
      </c>
      <c r="E32" s="16" t="s">
        <v>218</v>
      </c>
      <c r="F32" s="16" t="s">
        <v>219</v>
      </c>
      <c r="G32" s="16"/>
      <c r="H32" s="16" t="s">
        <v>220</v>
      </c>
      <c r="I32" s="16" t="s">
        <v>69</v>
      </c>
      <c r="J32" s="17" t="s">
        <v>32</v>
      </c>
      <c r="K32" s="11" t="s">
        <v>63</v>
      </c>
    </row>
    <row r="33" customFormat="false" ht="46.25" hidden="false" customHeight="false" outlineLevel="0" collapsed="false">
      <c r="A33" s="15" t="s">
        <v>221</v>
      </c>
      <c r="B33" s="16" t="s">
        <v>43</v>
      </c>
      <c r="C33" s="16" t="s">
        <v>222</v>
      </c>
      <c r="D33" s="11" t="s">
        <v>49</v>
      </c>
      <c r="E33" s="16" t="s">
        <v>223</v>
      </c>
      <c r="F33" s="16" t="s">
        <v>224</v>
      </c>
      <c r="G33" s="16"/>
      <c r="H33" s="16" t="s">
        <v>225</v>
      </c>
      <c r="I33" s="16" t="s">
        <v>137</v>
      </c>
      <c r="J33" s="18" t="s">
        <v>36</v>
      </c>
      <c r="K33" s="11" t="s">
        <v>63</v>
      </c>
    </row>
    <row r="34" customFormat="false" ht="113.4" hidden="false" customHeight="false" outlineLevel="0" collapsed="false">
      <c r="A34" s="15" t="s">
        <v>226</v>
      </c>
      <c r="B34" s="16" t="s">
        <v>43</v>
      </c>
      <c r="C34" s="16" t="s">
        <v>227</v>
      </c>
      <c r="D34" s="11" t="s">
        <v>51</v>
      </c>
      <c r="E34" s="16" t="s">
        <v>228</v>
      </c>
      <c r="F34" s="16" t="s">
        <v>229</v>
      </c>
      <c r="G34" s="16"/>
      <c r="H34" s="16" t="s">
        <v>230</v>
      </c>
      <c r="I34" s="16" t="s">
        <v>69</v>
      </c>
      <c r="J34" s="18" t="s">
        <v>36</v>
      </c>
      <c r="K34" s="11" t="s">
        <v>63</v>
      </c>
    </row>
    <row r="35" customFormat="false" ht="68.65" hidden="false" customHeight="false" outlineLevel="0" collapsed="false">
      <c r="A35" s="19" t="s">
        <v>231</v>
      </c>
      <c r="B35" s="20" t="s">
        <v>44</v>
      </c>
      <c r="C35" s="20" t="s">
        <v>232</v>
      </c>
      <c r="D35" s="21" t="s">
        <v>51</v>
      </c>
      <c r="E35" s="20" t="s">
        <v>233</v>
      </c>
      <c r="F35" s="20" t="s">
        <v>234</v>
      </c>
      <c r="G35" s="20"/>
      <c r="H35" s="20" t="s">
        <v>235</v>
      </c>
      <c r="I35" s="20" t="s">
        <v>236</v>
      </c>
      <c r="J35" s="17" t="s">
        <v>32</v>
      </c>
      <c r="K35" s="21" t="s">
        <v>63</v>
      </c>
    </row>
    <row r="36" customFormat="false" ht="79.85" hidden="false" customHeight="false" outlineLevel="0" collapsed="false">
      <c r="A36" s="19" t="s">
        <v>237</v>
      </c>
      <c r="B36" s="20" t="s">
        <v>44</v>
      </c>
      <c r="C36" s="20" t="s">
        <v>238</v>
      </c>
      <c r="D36" s="21" t="s">
        <v>49</v>
      </c>
      <c r="E36" s="20" t="s">
        <v>239</v>
      </c>
      <c r="F36" s="20" t="s">
        <v>240</v>
      </c>
      <c r="G36" s="20"/>
      <c r="H36" s="20" t="s">
        <v>241</v>
      </c>
      <c r="I36" s="20" t="s">
        <v>242</v>
      </c>
      <c r="J36" s="17" t="s">
        <v>32</v>
      </c>
      <c r="K36" s="21" t="s">
        <v>63</v>
      </c>
    </row>
    <row r="37" customFormat="false" ht="91" hidden="false" customHeight="false" outlineLevel="0" collapsed="false">
      <c r="A37" s="19" t="s">
        <v>243</v>
      </c>
      <c r="B37" s="20" t="s">
        <v>44</v>
      </c>
      <c r="C37" s="20" t="s">
        <v>244</v>
      </c>
      <c r="D37" s="21" t="s">
        <v>49</v>
      </c>
      <c r="E37" s="20" t="s">
        <v>245</v>
      </c>
      <c r="F37" s="20" t="s">
        <v>246</v>
      </c>
      <c r="G37" s="20"/>
      <c r="H37" s="20" t="s">
        <v>247</v>
      </c>
      <c r="I37" s="20" t="s">
        <v>242</v>
      </c>
      <c r="J37" s="17" t="s">
        <v>32</v>
      </c>
      <c r="K37" s="21" t="s">
        <v>63</v>
      </c>
    </row>
    <row r="38" customFormat="false" ht="68.65" hidden="false" customHeight="false" outlineLevel="0" collapsed="false">
      <c r="A38" s="19" t="s">
        <v>248</v>
      </c>
      <c r="B38" s="20" t="s">
        <v>44</v>
      </c>
      <c r="C38" s="20" t="s">
        <v>249</v>
      </c>
      <c r="D38" s="21" t="s">
        <v>49</v>
      </c>
      <c r="E38" s="20" t="s">
        <v>250</v>
      </c>
      <c r="F38" s="20" t="s">
        <v>251</v>
      </c>
      <c r="G38" s="20"/>
      <c r="H38" s="20" t="s">
        <v>252</v>
      </c>
      <c r="I38" s="20" t="s">
        <v>242</v>
      </c>
      <c r="J38" s="17" t="s">
        <v>32</v>
      </c>
      <c r="K38" s="21" t="s">
        <v>63</v>
      </c>
    </row>
    <row r="39" customFormat="false" ht="91" hidden="false" customHeight="false" outlineLevel="0" collapsed="false">
      <c r="A39" s="15" t="s">
        <v>253</v>
      </c>
      <c r="B39" s="16" t="s">
        <v>46</v>
      </c>
      <c r="C39" s="16" t="s">
        <v>254</v>
      </c>
      <c r="D39" s="11" t="s">
        <v>49</v>
      </c>
      <c r="E39" s="16" t="s">
        <v>255</v>
      </c>
      <c r="F39" s="16" t="s">
        <v>256</v>
      </c>
      <c r="G39" s="16"/>
      <c r="H39" s="16" t="s">
        <v>257</v>
      </c>
      <c r="I39" s="16" t="s">
        <v>258</v>
      </c>
      <c r="J39" s="17" t="s">
        <v>32</v>
      </c>
      <c r="K39" s="11" t="s">
        <v>63</v>
      </c>
    </row>
    <row r="40" customFormat="false" ht="102.2" hidden="false" customHeight="false" outlineLevel="0" collapsed="false">
      <c r="A40" s="15" t="s">
        <v>259</v>
      </c>
      <c r="B40" s="16" t="s">
        <v>46</v>
      </c>
      <c r="C40" s="16" t="s">
        <v>260</v>
      </c>
      <c r="D40" s="11" t="s">
        <v>49</v>
      </c>
      <c r="E40" s="16" t="s">
        <v>261</v>
      </c>
      <c r="F40" s="16" t="s">
        <v>262</v>
      </c>
      <c r="G40" s="16" t="s">
        <v>263</v>
      </c>
      <c r="H40" s="16" t="s">
        <v>264</v>
      </c>
      <c r="I40" s="16" t="s">
        <v>69</v>
      </c>
      <c r="J40" s="17" t="s">
        <v>32</v>
      </c>
      <c r="K40" s="11" t="s">
        <v>63</v>
      </c>
    </row>
    <row r="41" customFormat="false" ht="91" hidden="false" customHeight="false" outlineLevel="0" collapsed="false">
      <c r="A41" s="15" t="s">
        <v>265</v>
      </c>
      <c r="B41" s="16" t="s">
        <v>46</v>
      </c>
      <c r="C41" s="16" t="s">
        <v>266</v>
      </c>
      <c r="D41" s="11" t="s">
        <v>47</v>
      </c>
      <c r="E41" s="16" t="s">
        <v>267</v>
      </c>
      <c r="F41" s="16" t="s">
        <v>268</v>
      </c>
      <c r="G41" s="16"/>
      <c r="H41" s="16" t="s">
        <v>269</v>
      </c>
      <c r="I41" s="16" t="s">
        <v>62</v>
      </c>
      <c r="J41" s="17" t="s">
        <v>32</v>
      </c>
      <c r="K41" s="11" t="s">
        <v>63</v>
      </c>
    </row>
    <row r="42" customFormat="false" ht="102.2" hidden="false" customHeight="false" outlineLevel="0" collapsed="false">
      <c r="A42" s="15" t="s">
        <v>270</v>
      </c>
      <c r="B42" s="16" t="s">
        <v>46</v>
      </c>
      <c r="C42" s="16" t="s">
        <v>271</v>
      </c>
      <c r="D42" s="11" t="s">
        <v>47</v>
      </c>
      <c r="E42" s="16" t="s">
        <v>272</v>
      </c>
      <c r="F42" s="16" t="s">
        <v>273</v>
      </c>
      <c r="G42" s="16" t="s">
        <v>274</v>
      </c>
      <c r="H42" s="16" t="s">
        <v>275</v>
      </c>
      <c r="I42" s="16" t="s">
        <v>69</v>
      </c>
      <c r="J42" s="17" t="s">
        <v>32</v>
      </c>
      <c r="K42" s="11" t="s">
        <v>63</v>
      </c>
    </row>
    <row r="43" customFormat="false" ht="102.2" hidden="false" customHeight="false" outlineLevel="0" collapsed="false">
      <c r="A43" s="15" t="s">
        <v>276</v>
      </c>
      <c r="B43" s="16" t="s">
        <v>46</v>
      </c>
      <c r="C43" s="16" t="s">
        <v>277</v>
      </c>
      <c r="D43" s="11" t="s">
        <v>47</v>
      </c>
      <c r="E43" s="16" t="s">
        <v>278</v>
      </c>
      <c r="F43" s="16" t="s">
        <v>279</v>
      </c>
      <c r="G43" s="16" t="s">
        <v>280</v>
      </c>
      <c r="H43" s="16" t="s">
        <v>281</v>
      </c>
      <c r="I43" s="16" t="s">
        <v>258</v>
      </c>
      <c r="J43" s="17" t="s">
        <v>32</v>
      </c>
      <c r="K43" s="11" t="s">
        <v>63</v>
      </c>
    </row>
    <row r="44" customFormat="false" ht="68.65" hidden="false" customHeight="false" outlineLevel="0" collapsed="false">
      <c r="A44" s="15" t="s">
        <v>282</v>
      </c>
      <c r="B44" s="16" t="s">
        <v>46</v>
      </c>
      <c r="C44" s="16" t="s">
        <v>283</v>
      </c>
      <c r="D44" s="11" t="s">
        <v>49</v>
      </c>
      <c r="E44" s="16" t="s">
        <v>284</v>
      </c>
      <c r="F44" s="16" t="s">
        <v>285</v>
      </c>
      <c r="G44" s="16"/>
      <c r="H44" s="16" t="s">
        <v>286</v>
      </c>
      <c r="I44" s="16" t="s">
        <v>69</v>
      </c>
      <c r="J44" s="17" t="s">
        <v>32</v>
      </c>
      <c r="K44" s="11" t="s">
        <v>63</v>
      </c>
    </row>
    <row r="45" customFormat="false" ht="91" hidden="false" customHeight="false" outlineLevel="0" collapsed="false">
      <c r="A45" s="15" t="s">
        <v>287</v>
      </c>
      <c r="B45" s="16" t="s">
        <v>46</v>
      </c>
      <c r="C45" s="16" t="s">
        <v>288</v>
      </c>
      <c r="D45" s="11" t="s">
        <v>49</v>
      </c>
      <c r="E45" s="16" t="s">
        <v>289</v>
      </c>
      <c r="F45" s="16" t="s">
        <v>290</v>
      </c>
      <c r="G45" s="16"/>
      <c r="H45" s="16" t="s">
        <v>291</v>
      </c>
      <c r="I45" s="16" t="s">
        <v>69</v>
      </c>
      <c r="J45" s="17" t="s">
        <v>32</v>
      </c>
      <c r="K45" s="11" t="s">
        <v>63</v>
      </c>
    </row>
    <row r="46" customFormat="false" ht="79.85" hidden="false" customHeight="false" outlineLevel="0" collapsed="false">
      <c r="A46" s="15" t="s">
        <v>292</v>
      </c>
      <c r="B46" s="16" t="s">
        <v>46</v>
      </c>
      <c r="C46" s="16" t="s">
        <v>293</v>
      </c>
      <c r="D46" s="11" t="s">
        <v>47</v>
      </c>
      <c r="E46" s="16" t="s">
        <v>294</v>
      </c>
      <c r="F46" s="16" t="s">
        <v>295</v>
      </c>
      <c r="G46" s="16" t="s">
        <v>296</v>
      </c>
      <c r="H46" s="16" t="s">
        <v>297</v>
      </c>
      <c r="I46" s="16" t="s">
        <v>69</v>
      </c>
      <c r="J46" s="18" t="s">
        <v>36</v>
      </c>
      <c r="K46" s="11" t="s">
        <v>63</v>
      </c>
    </row>
    <row r="47" customFormat="false" ht="91" hidden="false" customHeight="false" outlineLevel="0" collapsed="false">
      <c r="A47" s="19" t="s">
        <v>298</v>
      </c>
      <c r="B47" s="20" t="s">
        <v>48</v>
      </c>
      <c r="C47" s="20" t="s">
        <v>299</v>
      </c>
      <c r="D47" s="21" t="s">
        <v>49</v>
      </c>
      <c r="E47" s="20" t="s">
        <v>300</v>
      </c>
      <c r="F47" s="20" t="s">
        <v>301</v>
      </c>
      <c r="G47" s="20"/>
      <c r="H47" s="20" t="s">
        <v>302</v>
      </c>
      <c r="I47" s="20" t="s">
        <v>137</v>
      </c>
      <c r="J47" s="17" t="s">
        <v>32</v>
      </c>
      <c r="K47" s="21" t="s">
        <v>63</v>
      </c>
    </row>
    <row r="48" customFormat="false" ht="113.4" hidden="false" customHeight="false" outlineLevel="0" collapsed="false">
      <c r="A48" s="19" t="s">
        <v>303</v>
      </c>
      <c r="B48" s="20" t="s">
        <v>48</v>
      </c>
      <c r="C48" s="20" t="s">
        <v>304</v>
      </c>
      <c r="D48" s="21" t="s">
        <v>47</v>
      </c>
      <c r="E48" s="20" t="s">
        <v>305</v>
      </c>
      <c r="F48" s="20" t="s">
        <v>306</v>
      </c>
      <c r="G48" s="20"/>
      <c r="H48" s="20" t="s">
        <v>307</v>
      </c>
      <c r="I48" s="20" t="s">
        <v>62</v>
      </c>
      <c r="J48" s="17" t="s">
        <v>32</v>
      </c>
      <c r="K48" s="21" t="s">
        <v>63</v>
      </c>
    </row>
    <row r="49" customFormat="false" ht="102.2" hidden="false" customHeight="false" outlineLevel="0" collapsed="false">
      <c r="A49" s="19" t="s">
        <v>308</v>
      </c>
      <c r="B49" s="20" t="s">
        <v>48</v>
      </c>
      <c r="C49" s="20" t="s">
        <v>309</v>
      </c>
      <c r="D49" s="21" t="s">
        <v>47</v>
      </c>
      <c r="E49" s="20" t="s">
        <v>310</v>
      </c>
      <c r="F49" s="20" t="s">
        <v>311</v>
      </c>
      <c r="G49" s="20"/>
      <c r="H49" s="20" t="s">
        <v>312</v>
      </c>
      <c r="I49" s="20" t="s">
        <v>69</v>
      </c>
      <c r="J49" s="17" t="s">
        <v>32</v>
      </c>
      <c r="K49" s="21" t="s">
        <v>63</v>
      </c>
    </row>
    <row r="50" customFormat="false" ht="68.65" hidden="false" customHeight="false" outlineLevel="0" collapsed="false">
      <c r="A50" s="15" t="s">
        <v>313</v>
      </c>
      <c r="B50" s="16" t="s">
        <v>50</v>
      </c>
      <c r="C50" s="16" t="s">
        <v>314</v>
      </c>
      <c r="D50" s="11" t="s">
        <v>47</v>
      </c>
      <c r="E50" s="16" t="s">
        <v>315</v>
      </c>
      <c r="F50" s="16" t="s">
        <v>316</v>
      </c>
      <c r="G50" s="16"/>
      <c r="H50" s="16" t="s">
        <v>317</v>
      </c>
      <c r="I50" s="16" t="s">
        <v>69</v>
      </c>
      <c r="J50" s="17" t="s">
        <v>32</v>
      </c>
      <c r="K50" s="11" t="s">
        <v>63</v>
      </c>
    </row>
    <row r="51" customFormat="false" ht="91" hidden="false" customHeight="false" outlineLevel="0" collapsed="false">
      <c r="A51" s="15" t="s">
        <v>318</v>
      </c>
      <c r="B51" s="16" t="s">
        <v>50</v>
      </c>
      <c r="C51" s="16" t="s">
        <v>319</v>
      </c>
      <c r="D51" s="11" t="s">
        <v>47</v>
      </c>
      <c r="E51" s="16" t="s">
        <v>320</v>
      </c>
      <c r="F51" s="16" t="s">
        <v>321</v>
      </c>
      <c r="G51" s="16"/>
      <c r="H51" s="16" t="s">
        <v>322</v>
      </c>
      <c r="I51" s="16" t="s">
        <v>69</v>
      </c>
      <c r="J51" s="18" t="s">
        <v>36</v>
      </c>
      <c r="K51" s="11" t="s">
        <v>63</v>
      </c>
    </row>
    <row r="52" customFormat="false" ht="91" hidden="false" customHeight="false" outlineLevel="0" collapsed="false">
      <c r="A52" s="19" t="s">
        <v>323</v>
      </c>
      <c r="B52" s="20" t="s">
        <v>52</v>
      </c>
      <c r="C52" s="20" t="s">
        <v>324</v>
      </c>
      <c r="D52" s="21" t="s">
        <v>51</v>
      </c>
      <c r="E52" s="20" t="s">
        <v>325</v>
      </c>
      <c r="F52" s="20" t="s">
        <v>326</v>
      </c>
      <c r="G52" s="20"/>
      <c r="H52" s="20" t="s">
        <v>327</v>
      </c>
      <c r="I52" s="20" t="s">
        <v>69</v>
      </c>
      <c r="J52" s="17" t="s">
        <v>32</v>
      </c>
      <c r="K52" s="21" t="s">
        <v>63</v>
      </c>
    </row>
    <row r="53" customFormat="false" ht="91" hidden="false" customHeight="false" outlineLevel="0" collapsed="false">
      <c r="A53" s="19" t="s">
        <v>328</v>
      </c>
      <c r="B53" s="20" t="s">
        <v>52</v>
      </c>
      <c r="C53" s="20" t="s">
        <v>329</v>
      </c>
      <c r="D53" s="21" t="s">
        <v>47</v>
      </c>
      <c r="E53" s="20" t="s">
        <v>330</v>
      </c>
      <c r="F53" s="20" t="s">
        <v>331</v>
      </c>
      <c r="G53" s="20" t="s">
        <v>332</v>
      </c>
      <c r="H53" s="20" t="s">
        <v>333</v>
      </c>
      <c r="I53" s="20" t="s">
        <v>69</v>
      </c>
      <c r="J53" s="17" t="s">
        <v>32</v>
      </c>
      <c r="K53" s="21" t="s">
        <v>63</v>
      </c>
    </row>
    <row r="54" customFormat="false" ht="68.65" hidden="false" customHeight="false" outlineLevel="0" collapsed="false">
      <c r="A54" s="19" t="s">
        <v>334</v>
      </c>
      <c r="B54" s="20" t="s">
        <v>52</v>
      </c>
      <c r="C54" s="20" t="s">
        <v>335</v>
      </c>
      <c r="D54" s="21" t="s">
        <v>47</v>
      </c>
      <c r="E54" s="20" t="s">
        <v>336</v>
      </c>
      <c r="F54" s="20" t="s">
        <v>337</v>
      </c>
      <c r="G54" s="20"/>
      <c r="H54" s="20" t="s">
        <v>338</v>
      </c>
      <c r="I54" s="20" t="s">
        <v>69</v>
      </c>
      <c r="J54" s="18" t="s">
        <v>36</v>
      </c>
      <c r="K54" s="21" t="s">
        <v>63</v>
      </c>
    </row>
    <row r="55" customFormat="false" ht="79.85" hidden="false" customHeight="false" outlineLevel="0" collapsed="false">
      <c r="A55" s="19" t="s">
        <v>339</v>
      </c>
      <c r="B55" s="20" t="s">
        <v>52</v>
      </c>
      <c r="C55" s="20" t="s">
        <v>340</v>
      </c>
      <c r="D55" s="21" t="s">
        <v>47</v>
      </c>
      <c r="E55" s="20" t="s">
        <v>341</v>
      </c>
      <c r="F55" s="20" t="s">
        <v>342</v>
      </c>
      <c r="G55" s="20"/>
      <c r="H55" s="20" t="s">
        <v>343</v>
      </c>
      <c r="I55" s="20" t="s">
        <v>69</v>
      </c>
      <c r="J55" s="18" t="s">
        <v>36</v>
      </c>
      <c r="K55" s="21" t="s">
        <v>63</v>
      </c>
    </row>
    <row r="56" customFormat="false" ht="68.65" hidden="false" customHeight="false" outlineLevel="0" collapsed="false">
      <c r="A56" s="19" t="s">
        <v>344</v>
      </c>
      <c r="B56" s="20" t="s">
        <v>52</v>
      </c>
      <c r="C56" s="20" t="s">
        <v>345</v>
      </c>
      <c r="D56" s="21" t="s">
        <v>47</v>
      </c>
      <c r="E56" s="20" t="s">
        <v>346</v>
      </c>
      <c r="F56" s="20" t="s">
        <v>347</v>
      </c>
      <c r="G56" s="20"/>
      <c r="H56" s="20" t="s">
        <v>348</v>
      </c>
      <c r="I56" s="20" t="s">
        <v>69</v>
      </c>
      <c r="J56" s="17" t="s">
        <v>32</v>
      </c>
      <c r="K56" s="21" t="s">
        <v>63</v>
      </c>
    </row>
    <row r="57" customFormat="false" ht="102.2" hidden="false" customHeight="false" outlineLevel="0" collapsed="false">
      <c r="A57" s="15" t="s">
        <v>349</v>
      </c>
      <c r="B57" s="16" t="s">
        <v>53</v>
      </c>
      <c r="C57" s="16" t="s">
        <v>350</v>
      </c>
      <c r="D57" s="11" t="s">
        <v>49</v>
      </c>
      <c r="E57" s="16" t="s">
        <v>351</v>
      </c>
      <c r="F57" s="16" t="s">
        <v>352</v>
      </c>
      <c r="G57" s="16"/>
      <c r="H57" s="16" t="s">
        <v>353</v>
      </c>
      <c r="I57" s="16" t="s">
        <v>354</v>
      </c>
      <c r="J57" s="17" t="s">
        <v>32</v>
      </c>
      <c r="K57" s="11" t="s">
        <v>63</v>
      </c>
    </row>
    <row r="58" customFormat="false" ht="113.4" hidden="false" customHeight="false" outlineLevel="0" collapsed="false">
      <c r="A58" s="15" t="s">
        <v>355</v>
      </c>
      <c r="B58" s="16" t="s">
        <v>53</v>
      </c>
      <c r="C58" s="16" t="s">
        <v>356</v>
      </c>
      <c r="D58" s="11" t="s">
        <v>49</v>
      </c>
      <c r="E58" s="16" t="s">
        <v>357</v>
      </c>
      <c r="F58" s="16" t="s">
        <v>358</v>
      </c>
      <c r="G58" s="16" t="s">
        <v>359</v>
      </c>
      <c r="H58" s="16" t="s">
        <v>360</v>
      </c>
      <c r="I58" s="16" t="s">
        <v>361</v>
      </c>
      <c r="J58" s="17" t="s">
        <v>32</v>
      </c>
      <c r="K58" s="11" t="s">
        <v>63</v>
      </c>
    </row>
    <row r="59" customFormat="false" ht="102.2" hidden="false" customHeight="false" outlineLevel="0" collapsed="false">
      <c r="A59" s="15" t="s">
        <v>362</v>
      </c>
      <c r="B59" s="16" t="s">
        <v>53</v>
      </c>
      <c r="C59" s="16" t="s">
        <v>363</v>
      </c>
      <c r="D59" s="11" t="s">
        <v>47</v>
      </c>
      <c r="E59" s="16" t="s">
        <v>364</v>
      </c>
      <c r="F59" s="16" t="s">
        <v>365</v>
      </c>
      <c r="G59" s="16" t="s">
        <v>366</v>
      </c>
      <c r="H59" s="16" t="s">
        <v>367</v>
      </c>
      <c r="I59" s="16" t="s">
        <v>69</v>
      </c>
      <c r="J59" s="17" t="s">
        <v>32</v>
      </c>
      <c r="K59" s="11" t="s">
        <v>63</v>
      </c>
    </row>
    <row r="60" customFormat="false" ht="79.85" hidden="false" customHeight="false" outlineLevel="0" collapsed="false">
      <c r="A60" s="15" t="s">
        <v>368</v>
      </c>
      <c r="B60" s="16" t="s">
        <v>53</v>
      </c>
      <c r="C60" s="16" t="s">
        <v>369</v>
      </c>
      <c r="D60" s="11" t="s">
        <v>47</v>
      </c>
      <c r="E60" s="16" t="s">
        <v>370</v>
      </c>
      <c r="F60" s="16" t="s">
        <v>371</v>
      </c>
      <c r="G60" s="16"/>
      <c r="H60" s="16" t="s">
        <v>372</v>
      </c>
      <c r="I60" s="16" t="s">
        <v>69</v>
      </c>
      <c r="J60" s="17" t="s">
        <v>32</v>
      </c>
      <c r="K60" s="11" t="s">
        <v>63</v>
      </c>
    </row>
    <row r="61" customFormat="false" ht="68.65" hidden="false" customHeight="false" outlineLevel="0" collapsed="false">
      <c r="A61" s="15" t="s">
        <v>373</v>
      </c>
      <c r="B61" s="16" t="s">
        <v>53</v>
      </c>
      <c r="C61" s="16" t="s">
        <v>374</v>
      </c>
      <c r="D61" s="11" t="s">
        <v>47</v>
      </c>
      <c r="E61" s="16" t="s">
        <v>375</v>
      </c>
      <c r="F61" s="16" t="s">
        <v>376</v>
      </c>
      <c r="G61" s="16" t="s">
        <v>377</v>
      </c>
      <c r="H61" s="16" t="s">
        <v>378</v>
      </c>
      <c r="I61" s="16" t="s">
        <v>361</v>
      </c>
      <c r="J61" s="17" t="s">
        <v>32</v>
      </c>
      <c r="K61" s="11" t="s">
        <v>63</v>
      </c>
    </row>
    <row r="62" customFormat="false" ht="91" hidden="false" customHeight="false" outlineLevel="0" collapsed="false">
      <c r="A62" s="15" t="s">
        <v>379</v>
      </c>
      <c r="B62" s="16" t="s">
        <v>53</v>
      </c>
      <c r="C62" s="16" t="s">
        <v>380</v>
      </c>
      <c r="D62" s="11" t="s">
        <v>47</v>
      </c>
      <c r="E62" s="16" t="s">
        <v>381</v>
      </c>
      <c r="F62" s="16" t="s">
        <v>382</v>
      </c>
      <c r="G62" s="16"/>
      <c r="H62" s="16" t="s">
        <v>383</v>
      </c>
      <c r="I62" s="16" t="s">
        <v>354</v>
      </c>
      <c r="J62" s="17" t="s">
        <v>32</v>
      </c>
      <c r="K62" s="11" t="s">
        <v>63</v>
      </c>
    </row>
    <row r="63" customFormat="false" ht="102.2" hidden="false" customHeight="false" outlineLevel="0" collapsed="false">
      <c r="A63" s="15" t="s">
        <v>384</v>
      </c>
      <c r="B63" s="16" t="s">
        <v>53</v>
      </c>
      <c r="C63" s="16" t="s">
        <v>385</v>
      </c>
      <c r="D63" s="11" t="s">
        <v>47</v>
      </c>
      <c r="E63" s="16" t="s">
        <v>386</v>
      </c>
      <c r="F63" s="16" t="s">
        <v>387</v>
      </c>
      <c r="G63" s="16" t="s">
        <v>388</v>
      </c>
      <c r="H63" s="16" t="s">
        <v>389</v>
      </c>
      <c r="I63" s="16" t="s">
        <v>361</v>
      </c>
      <c r="J63" s="17" t="s">
        <v>32</v>
      </c>
      <c r="K63" s="11" t="s">
        <v>63</v>
      </c>
    </row>
    <row r="64" customFormat="false" ht="91" hidden="false" customHeight="false" outlineLevel="0" collapsed="false">
      <c r="A64" s="19" t="s">
        <v>390</v>
      </c>
      <c r="B64" s="20" t="s">
        <v>54</v>
      </c>
      <c r="C64" s="20" t="s">
        <v>391</v>
      </c>
      <c r="D64" s="21" t="s">
        <v>47</v>
      </c>
      <c r="E64" s="20" t="s">
        <v>392</v>
      </c>
      <c r="F64" s="20" t="s">
        <v>393</v>
      </c>
      <c r="G64" s="20"/>
      <c r="H64" s="20" t="s">
        <v>394</v>
      </c>
      <c r="I64" s="20" t="s">
        <v>69</v>
      </c>
      <c r="J64" s="18" t="s">
        <v>36</v>
      </c>
      <c r="K64" s="21" t="s">
        <v>63</v>
      </c>
    </row>
    <row r="65" customFormat="false" ht="57.45" hidden="false" customHeight="false" outlineLevel="0" collapsed="false">
      <c r="A65" s="19" t="s">
        <v>395</v>
      </c>
      <c r="B65" s="20" t="s">
        <v>54</v>
      </c>
      <c r="C65" s="20" t="s">
        <v>396</v>
      </c>
      <c r="D65" s="21" t="s">
        <v>47</v>
      </c>
      <c r="E65" s="20" t="s">
        <v>397</v>
      </c>
      <c r="F65" s="20" t="s">
        <v>398</v>
      </c>
      <c r="G65" s="20"/>
      <c r="H65" s="20" t="s">
        <v>399</v>
      </c>
      <c r="I65" s="20" t="s">
        <v>62</v>
      </c>
      <c r="J65" s="18" t="s">
        <v>36</v>
      </c>
      <c r="K65" s="21" t="s">
        <v>63</v>
      </c>
    </row>
  </sheetData>
  <autoFilter ref="A1:K65"/>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2026-08-24T21:58:23Z</dcterms:created>
  <dc:creator>openpyxl</dc:creator>
  <dc:description/>
  <dc:language>en-US</dc:language>
  <cp:lastModifiedBy/>
  <dcterms:modified xsi:type="dcterms:W3CDTF">2026-08-24T21:58:23Z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