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Gap Register" sheetId="2" state="visible" r:id="rId4"/>
    <sheet name="Resolved Decisions" sheetId="3" state="visible" r:id="rId5"/>
  </sheets>
  <definedNames>
    <definedName function="false" hidden="true" localSheetId="1" name="_xlnm._FilterDatabase" vbProcedure="false">'Gap Register'!$A$1:$K$44</definedName>
    <definedName function="false" hidden="true" localSheetId="2" name="_xlnm._FilterDatabase" vbProcedure="false">'Resolved Decisions'!$A$1:$E$22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<sst xmlns="http://schemas.openxmlformats.org/spreadsheetml/2006/main" count="613" uniqueCount="385">
  <si>
    <t xml:space="preserve">WMP Solution Design — Inputs &amp; Decisions Gap Register</t>
  </si>
  <si>
    <t xml:space="preserve">Rev 2 — updated 8/24/2026 with WMP's responses. Open questions only; resolved decisions on the 'Resolved Decisions' sheet.</t>
  </si>
  <si>
    <t xml:space="preserve">Wisconsin Metal Parts — Microsoft GCC High Migration (CMMC 2.0 Level 2)  |  Prepared by Essendis</t>
  </si>
  <si>
    <t xml:space="preserve">Purpose</t>
  </si>
  <si>
    <t xml:space="preserve">The register now carries only the questions still open after WMP's first review pass. Each answered row moved to the Resolved Decisions sheet with its follow-through (the design-doc edit or configuration action it drives). Partially answered rows remain here with the decided part recorded and only the outstanding questions listed.</t>
  </si>
  <si>
    <t xml:space="preserve">How to read the register</t>
  </si>
  <si>
    <t xml:space="preserve">Type</t>
  </si>
  <si>
    <t xml:space="preserve">Undocumented decision = decided but written nowhere · Missing decision = not yet made · Missing design = committed but not designed · Missing input = a fact only WMP/a partner can supply · Open item in doc = flagged in the design</t>
  </si>
  <si>
    <t xml:space="preserve">Priority</t>
  </si>
  <si>
    <t xml:space="preserve">High = blocks configuration, migration, or evidence · Medium = needed before go-live · Low = quality/closure</t>
  </si>
  <si>
    <t xml:space="preserve">Owner</t>
  </si>
  <si>
    <t xml:space="preserve">Who must answer: WMP, Essendis, RPO (Bound Planet), CallTower — or a combination</t>
  </si>
  <si>
    <t xml:space="preserve">Counts</t>
  </si>
  <si>
    <t xml:space="preserve">Open by category</t>
  </si>
  <si>
    <t xml:space="preserve">Totals</t>
  </si>
  <si>
    <t xml:space="preserve">Endpoint &amp; Device Management</t>
  </si>
  <si>
    <t xml:space="preserve">Open — High</t>
  </si>
  <si>
    <t xml:space="preserve">Program &amp; Scope</t>
  </si>
  <si>
    <t xml:space="preserve">Open — Medium</t>
  </si>
  <si>
    <t xml:space="preserve">Licensing</t>
  </si>
  <si>
    <t xml:space="preserve">Open — Low</t>
  </si>
  <si>
    <t xml:space="preserve">Identity &amp; Access</t>
  </si>
  <si>
    <t xml:space="preserve">Open total</t>
  </si>
  <si>
    <t xml:space="preserve">Conditional Access</t>
  </si>
  <si>
    <t xml:space="preserve">Resolved</t>
  </si>
  <si>
    <t xml:space="preserve">Exchange Online &amp; Mail Flow</t>
  </si>
  <si>
    <t xml:space="preserve">Collaboration Workloads</t>
  </si>
  <si>
    <t xml:space="preserve">Teams Voice</t>
  </si>
  <si>
    <t xml:space="preserve">Data Migration</t>
  </si>
  <si>
    <t xml:space="preserve">Device Migration</t>
  </si>
  <si>
    <t xml:space="preserve">Exchange Decommission</t>
  </si>
  <si>
    <t xml:space="preserve">Operations &amp; Support</t>
  </si>
  <si>
    <t xml:space="preserve">CUI Governance &amp; Compliance</t>
  </si>
  <si>
    <t xml:space="preserve">ID</t>
  </si>
  <si>
    <t xml:space="preserve">Category</t>
  </si>
  <si>
    <t xml:space="preserve">Gap / Missing Item</t>
  </si>
  <si>
    <t xml:space="preserve">Why It Matters</t>
  </si>
  <si>
    <t xml:space="preserve">Key Questions</t>
  </si>
  <si>
    <t xml:space="preserve">Proposed Direction / Known Answer</t>
  </si>
  <si>
    <t xml:space="preserve">Design Doc Section</t>
  </si>
  <si>
    <t xml:space="preserve">Status</t>
  </si>
  <si>
    <t xml:space="preserve">G-01</t>
  </si>
  <si>
    <t xml:space="preserve">Endpoint security baselines are absent from the design. The decision to deploy Microsoft Security Compliance Toolkit baselines through Intune has already been made but appears nowhere in the document, and WBS 4.3.1 instead names the Intune MDM Security Baseline — two different mechanisms.</t>
  </si>
  <si>
    <t xml:space="preserve">Undocumented decision</t>
  </si>
  <si>
    <t xml:space="preserve">Baselines are the single largest source of endpoint hardening evidence for CMMC CM.L2-3.4.1/3.4.2 (baseline configuration and security configuration enforcement); an undocumented baseline cannot be assessed, versioned, or defended in an audit.</t>
  </si>
  <si>
    <t xml:space="preserve">Which baselines are in scope — Windows 11 (and Server, if any), Microsoft Edge, Microsoft Defender Antivirus, and Microsoft 365 Apps for Enterprise?
Which release of each baseline is pinned at go-live, and what is the review/update cadence once Microsoft publishes a new version?
Is the intent the Security Compliance Toolkit (GPO-format baselines imported to Intune) or the Intune-native MDM security baseline that WBS 4.3.1 names? The two produce different settings and different evidence.
How are intentional deviations recorded — is there a deviation register with justification per setting for the CMMC evidence package?
When a baseline setting conflicts with an Intune configuration profile or a CIS/DISA STIG expectation, which wins, and who arbitrates?
Which pilot ring validates baselines before broad assignment, and what is the rollback if a baseline breaks a shop-floor or CAD application?</t>
  </si>
  <si>
    <t xml:space="preserve">Decision already taken (not yet in the document): Microsoft Security Compliance Toolkit baselines deployed via Intune. This must be written into the design, reconciled with WBS 4.3.1's "MDM Security Baseline" wording, and pinned to specific baseline versions.</t>
  </si>
  <si>
    <t xml:space="preserve">New section: M365 Design &gt; Endpoint Configuration (Windows)</t>
  </si>
  <si>
    <t xml:space="preserve">Essendis</t>
  </si>
  <si>
    <t xml:space="preserve">High</t>
  </si>
  <si>
    <t xml:space="preserve">Open</t>
  </si>
  <si>
    <t xml:space="preserve">G-02</t>
  </si>
  <si>
    <t xml:space="preserve">GCC High tenant procurement is assumed complete. The design opens at "immediately upon tenant creation" with no coverage of GCC High eligibility validation, the licensing partner (AOS-G/CSP-G), or provisioning lead time.</t>
  </si>
  <si>
    <t xml:space="preserve">Missing input</t>
  </si>
  <si>
    <t xml:space="preserve">GCC High is a sponsored, eligibility-validated cloud; validation and provisioning routinely take several weeks and gate every other task in the WBS, against a stated 12-week implementation.</t>
  </si>
  <si>
    <t xml:space="preserve">Which AOS-G / GCC High authorised partner holds the agreement, and is the eligibility validation submitted, in progress, or not started?
What is the confirmed or quoted tenant provisioning date, and what does the 12-week schedule assume for it?
Who signs the DFARS/ITAR eligibility attestation and the GCC High terms on WMP's behalf?
Is the tenant already created (the design names WMPADMIN@wisconsinmetalparts.com and two break-glass accounts) or is that still forward-looking?</t>
  </si>
  <si>
    <t xml:space="preserve">Overview / Scope; new "Assumptions &amp; Dependencies"</t>
  </si>
  <si>
    <t xml:space="preserve">Essendis + WMP</t>
  </si>
  <si>
    <t xml:space="preserve">G-03</t>
  </si>
  <si>
    <t xml:space="preserve">Azure infrastructure was removed from scope, but the document still depends on Azure in several places: break-glass alerting via "Log Analytics in Azure", CA policy 5 (Azure Management / Azure Portal), PIM covering "Azure resources" and Azure RBAC Owner/Contributor, and Deployment phase 1 "Define Azure RBAC model". The Scope section is a single sentence with no exclusions or assumptions.</t>
  </si>
  <si>
    <t xml:space="preserve">A design that silently assumes an Azure subscription produces configuration tasks that cannot be executed and controls that cannot be evidenced; a scope section without exclusions invites change-order disputes later.</t>
  </si>
  <si>
    <t xml:space="preserve">Is there any Azure Government subscription at all in the WMP estate — today or planned — or is the environment strictly M365 GCC High?
If there is none: should CA policy 5, the Azure RBAC references in PIM, and Deployment phase 1's Azure RBAC task be removed or reworded to Entra-only?
Should the Scope section carry an explicit out-of-scope list (Azure IaaS/PaaS, on-prem network and boundary devices, ERP, physical security, SSP authorship) and a dependencies list?
Who owns any Azure-dependent control that survives — WMP, Essendis, or the RPO?</t>
  </si>
  <si>
    <t xml:space="preserve">Known: Azure infrastructure was removed from scope; this is an M365-only design. The residual Azure references are leftovers from the prior revision and need to be removed or replaced with M365-native equivalents.</t>
  </si>
  <si>
    <t xml:space="preserve">Scope; Baseline Security &gt; Emergency Accounts; CA policy 5; Deployment Approach 1</t>
  </si>
  <si>
    <t xml:space="preserve">Medium</t>
  </si>
  <si>
    <t xml:space="preserve">G-04</t>
  </si>
  <si>
    <t xml:space="preserve">Migration schedule is undefined: cutover dates are listed as "TBD", the stated duration ("approximately 12 weeks... wrap up around first week of May") does not reconcile with the 8/24/2026 issue date, and the wave/batch plan that WBS 5.2.1 expects to take "from SDD" does not exist in the document.</t>
  </si>
  <si>
    <t xml:space="preserve">Open item in doc</t>
  </si>
  <si>
    <t xml:space="preserve">WBS 5.2.1 cannot start without batch definitions, and CallTower porting, DNS cutover, and device migration waves are all sequenced off dates that do not exist.</t>
  </si>
  <si>
    <t xml:space="preserve">Propose and confirm the specific cutover weekend(s) in early-to-mid November (avoid Thanksgiving week Nov 23-27) — WMP asked for suggested available weekends.
Wave plan: a single cutover event is confirmed (G-40) — name the 5-10 user pilot batch (WBS 5.2.2) and any per-site sequencing within it.
Update the stale 'approximately 12 weeks... first week of May' schedule text to the November plan.
Which dates get hard-committed to CallTower for porting and to users in the communications plan?</t>
  </si>
  <si>
    <t xml:space="preserve">WMP (8/24): early-mid november - suggest available weekends.</t>
  </si>
  <si>
    <t xml:space="preserve">Migration Design &gt; Schedule; new "Migration Waves" subsection</t>
  </si>
  <si>
    <t xml:space="preserve">G-06</t>
  </si>
  <si>
    <t xml:space="preserve">No licensing design exists. The document names "Teams Phone licensing" only; the GCC High SKU set (M365 G3 vs G5), the security add-ons the design depends on, and the third-party tool licences are all undefined.</t>
  </si>
  <si>
    <t xml:space="preserve">Missing decision</t>
  </si>
  <si>
    <t xml:space="preserve">Half the controls in this design are SKU-dependent (PIM, risk policies, Defender for Endpoint, Purview labelling/DLP, audit retention); costing and configuration both stall until the SKU is fixed.</t>
  </si>
  <si>
    <t xml:space="preserve">Provide the licensing quote (promised, not yet received) and confirm the final SKU mix per persona from it.
Confirm the quote covers: Entra ID P2 (G-07), Defender for Endpoint P2 (G-28), Endpoint DLP (G-58), Teams Phone.
Who buys AvePoint Fly, ForensIT, and CallTower seats — WMP directly or through Essendis?
How long do commercial-tenant licences overlap GCC High, and is the overlap budgeted?</t>
  </si>
  <si>
    <t xml:space="preserve">WMP (8/24): I'll attach licensing quote</t>
  </si>
  <si>
    <t xml:space="preserve">New section: M365 Design &gt; Licensing</t>
  </si>
  <si>
    <t xml:space="preserve">G-07</t>
  </si>
  <si>
    <t xml:space="preserve">Entra ID P1 vs P2 is unresolved in the document — CA policy 7 says "Requires Entra ID P2" and policy 8 is titled "If P2". The dependency is broader than those two policies: PIM (used in two sections and Deployment phase 1) and access reviews also require P2.</t>
  </si>
  <si>
    <t xml:space="preserve">If only P1 is purchased, three commitments in the design collapse at once: risk-based CA, PIM just-in-time elevation, and access reviews — all of which the RPO is likely to map to AC.L2-3.1.5/3.1.7 evidence.</t>
  </si>
  <si>
    <t xml:space="preserve">Entra ID P2 is confirmed in scope — decide the vehicle: included in the base G-SKU or purchased as an add-on (resolve with the G-06 quote).</t>
  </si>
  <si>
    <t xml:space="preserve">WMP (8/24): Included in Sku or as add-on, but not decided which.</t>
  </si>
  <si>
    <t xml:space="preserve">Baseline Security &gt; Conditional Access (policies 7 and 8); PIM sections</t>
  </si>
  <si>
    <t xml:space="preserve">G-08</t>
  </si>
  <si>
    <t xml:space="preserve">No Entra ID Connect design. The document asserts password hash synchronisation, Seamless SSO, and (in the decommission section) that "Entra ID Connect remains in place", but never defines sync topology — and never addresses that the same on-premises AD currently synchronises to the commercial tenant.</t>
  </si>
  <si>
    <t xml:space="preserve">An AD object can synchronise to only one tenant; re-pointing or rebuilding sync for ~150 users is the pivot point of the whole migration and is currently undescribed. Appendix A also documents the Entra cloud password policy while synchronised users are actually governed by the on-premises AD policy.</t>
  </si>
  <si>
    <t xml:space="preserve">Sequence the re-point: when does sync cut from the commercial tenant to GCC High relative to the cutover event, and what is the sign-in impact during the gap?
How are GCC High objects matched to migrated mailboxes (sourceAnchor / ms-DS-ConsistencyGuid vs UPN) so mail lands on the right identities?
Sync scope: which OUs and object types, and is SSPR password writeback enabled?
Final sign-in method: PHS alone, or PHS plus Seamless SSO (which only benefits the domain-joined devices WBS 7 retires)?
Which password policy governs users — on-premises AD or the Appendix A Entra policy (the appendix note citing 'Entra ID Domain Services' appears to be an error)?
Break-fix: staging server, or a documented rebuild plan if sync fails mid-migration?</t>
  </si>
  <si>
    <t xml:space="preserve">WMP (8/24): repointing sync to gcch</t>
  </si>
  <si>
    <t xml:space="preserve">New section: M365 Design &gt; Hybrid Identity (Entra ID Connect); Appendix A</t>
  </si>
  <si>
    <t xml:space="preserve">G-09</t>
  </si>
  <si>
    <t xml:space="preserve">The device join model contradicts itself. CA policy 3 is "Require Compliant or Hybrid-Joined Device" and Baseline Security specifies Seamless SSO (an on-premises-domain feature), while WBS 7 disjoins every Windows endpoint from AD, Entra-ID-joins it, and retires GPO.</t>
  </si>
  <si>
    <t xml:space="preserve">Join type determines Conditional Access grant wording, how devices authenticate to on-premises resources, and whether GPO or Intune is authoritative — shipping both models guarantees a lockout or an unmanaged fleet at go-live.</t>
  </si>
  <si>
    <t xml:space="preserve">Is the end state Entra ID join (cloud-only, per WBS 7) or Entra hybrid join — and is hybrid join even the intent given GPO retirement?
If Entra ID join is the answer, should CA policy 3's grant be simplified to "require compliant device", and should the Seamless SSO section be removed?
During the migration window, will both join states coexist — and does the CA device grant tolerate that?
WBS 1.3.2 records "hybrid join confirmed feasible; departure from prior vendor guidance" — is that still the agreed position, or has it been superseded by the Modern Workspace approach?</t>
  </si>
  <si>
    <t xml:space="preserve">Known from WBS sheet 7: all Windows endpoints are disjoined from AD, Entra ID joined, auto-enrolled in Intune, and GPOs are retired. The design text predates this and should be aligned to a cloud-native join model.
Signals from WMP's other responses point to pure Entra ID join: G-23 replaces the domain-GUID sync restriction with tenant ID, and G-26 reports no Kerberos-dependent applications. Needs the explicit decision.</t>
  </si>
  <si>
    <t xml:space="preserve">Baseline Security &gt; Single Sign-On; CA policy 3; Deployment Approach 5</t>
  </si>
  <si>
    <t xml:space="preserve">G-11</t>
  </si>
  <si>
    <t xml:space="preserve">Authentication method design is contradictory and incomplete: the document states "All users will use the Microsoft Authenticator app", while CA policies 2 and 4 call for phishing-resistant authentication strength for admins. No method is defined for users without a corporate phone, and Windows Hello for Business, FIDO2, and Temporary Access Pass are not mentioned.</t>
  </si>
  <si>
    <t xml:space="preserve">Authenticator push is not phishing-resistant, so the admin policy as written cannot be satisfied; and NIST SP 800-171 3.5.3 requires MFA for local as well as network access to privileged accounts — which shop-floor workstations cannot meet with a phone-only method.</t>
  </si>
  <si>
    <t xml:space="preserve">Admins decided: passkey in Authenticator or YubiKey — confirm CA policies 2/4 use the phishing-resistant authentication strength, and who buys/enrols YubiKeys.
Shop-floor and phone-less users: which factor — FIDO2 keys, Windows Hello for Business, or an issued device?
Pre-cutover registration for ~150 users: Temporary Access Pass, a registration CA policy, or supervised on-site sessions per site?
Is SMS/voice MFA explicitly disallowed?</t>
  </si>
  <si>
    <t xml:space="preserve">WMP (8/24): Admins should use passkey in authenticator or Yubikey</t>
  </si>
  <si>
    <t xml:space="preserve">Baseline Security &gt; Multi-Factor Authentication; new "Authentication Methods" subsection</t>
  </si>
  <si>
    <t xml:space="preserve">G-12</t>
  </si>
  <si>
    <t xml:space="preserve">No account lifecycle (joiner/mover/leaver) design. The document defines UPN format and group naming but not how accounts are created, licensed, moved, or disabled — and WBS 5.6.5 commits to delivering exactly these admin procedures.</t>
  </si>
  <si>
    <t xml:space="preserve">CMMC AC.L2-3.1.1 and the AC/IA family require provisioning and timely removal of access; without a defined process the evidence is anecdotal, and orphaned accounts survive audits badly.</t>
  </si>
  <si>
    <t xml:space="preserve">Leaver process: licence removal, mailbox handling, OneDrive transfer, device wipe — steps, owner, SLA.
Name the security groups that drive group-based licensing, CA scoping, and Intune assignment, and who owns their membership.
Non-employee identities (contractors, temps): permitted, and under what constraints?</t>
  </si>
  <si>
    <t xml:space="preserve">WMP (8/24): Licensing should be group based. Accounts created in AD and synced.</t>
  </si>
  <si>
    <t xml:space="preserve">New section: M365 Design &gt; Identity Lifecycle; As-Configured admin procedures</t>
  </si>
  <si>
    <t xml:space="preserve">G-13</t>
  </si>
  <si>
    <t xml:space="preserve">Administrative role model is stated in principle only — "built-in roles ... rather than an excess of Global Admins" — with no named assignments, no PIM eligibility list, no approvers, and no statement of the US-person restriction that applies to GCC High administration.</t>
  </si>
  <si>
    <t xml:space="preserve">PIM cannot be configured without eligible-assignee and approver lists, and GCC High administrative access by non-US persons is an ITAR/DFARS exposure for both WMP and Essendis.</t>
  </si>
  <si>
    <t xml:space="preserve">Provide the admin user-to-role list (recorded as TBD), including how many PIM-eligible Global Administrators.
PIM settings: activation duration, MFA on activation, and who approves Global Administrator activation.</t>
  </si>
  <si>
    <t xml:space="preserve">WMP (8/24): Exact user lists TBD. No standing global admin for admins, all will use PIM. Separate user and cadm- prefixed accounts. Mike and Jeremy from Essendis, and they're removed at handoff.</t>
  </si>
  <si>
    <t xml:space="preserve">Baseline Security &gt; RBAC and PIM; Operations &amp; Support</t>
  </si>
  <si>
    <t xml:space="preserve">G-14</t>
  </si>
  <si>
    <t xml:space="preserve">Nine CA policies are specified but the rollout method is not: no report-only staging, no pilot group, no exclusion model beyond break-glass, and no service-account handling. Deployment phase 1 also says to configure "security defaults", which cannot coexist with Conditional Access.</t>
  </si>
  <si>
    <t xml:space="preserve">WBS 2.2.6 requires report-only testing specifically to prevent lockout; and a "require compliant device" policy applied tenant-wide will block the AvePoint Fly service principals and any unattended service identity on day one of migration.</t>
  </si>
  <si>
    <t xml:space="preserve">Define the report-only exit evidence (what 'verified' means) and the mid-migration lockout rollback owner and procedure.
Correct Deployment phase 1's 'security defaults' wording — Conditional Access is the mechanism; confirm security defaults are disabled.</t>
  </si>
  <si>
    <t xml:space="preserve">WMP (8/24): deployed in report-only while verified, then activated. Break glass accounts group excluded along with migration accounts. Avepoint uses app registrations.</t>
  </si>
  <si>
    <t xml:space="preserve">Baseline Security &gt; Conditional Access; Deployment Approach 1</t>
  </si>
  <si>
    <t xml:space="preserve">G-15</t>
  </si>
  <si>
    <t xml:space="preserve">Named locations are named but not defined: the document lists "WMP HQ" and "Tool Crib" — two entries for a company with three physical locations — and gives no IP ranges, no egress detail, and no VPN posture.</t>
  </si>
  <si>
    <t xml:space="preserve">Location-based CA policies cannot be built without public egress addresses, and a missing third site means users at that site fall into whatever the catch-all policy does.</t>
  </si>
  <si>
    <t xml:space="preserve">Provide the three site names and static egress IP ranges (v4/v6) per site (recorded as TBD).
Any VPN or SD-WAN that changes egress, and what posture applies to remote users?
Design-doc action (decided): remove the 'Tool Crib' entry — it belongs to another customer.</t>
  </si>
  <si>
    <t xml:space="preserve">WMP (8/24): Sites TBD. Tool crib reference should be removed as specific to another customer.</t>
  </si>
  <si>
    <t xml:space="preserve">Baseline Security &gt; Locations (Named locations)</t>
  </si>
  <si>
    <t xml:space="preserve">WMP</t>
  </si>
  <si>
    <t xml:space="preserve">G-17</t>
  </si>
  <si>
    <t xml:space="preserve">The Terms of Use / CUI warning in Appendix B is written but never wired to anything — no Conditional Access policy grants on Terms of Use acceptance, and the Entra ID section cross-references it to "Appendix A", which is the password matrix.</t>
  </si>
  <si>
    <t xml:space="preserve">A CUI acknowledgement that is never presented produces no evidence for the awareness and acceptable-use expectations the assessor will look for, and the contact details in the text are still placeholders.</t>
  </si>
  <si>
    <t xml:space="preserve">Provide the SOC/security contact email and phone for the Appendix B '[To-Be-Determined]' placeholders (also the residual from G-61).
Design-doc actions (decided): deliver via Entra Terms of Use with a CA grant, all users, annual re-acceptance, WMP legal review; correct the Appendix A/B cross-reference.</t>
  </si>
  <si>
    <t xml:space="preserve">WMP (8/24): yes, and applies to everyone. Reaccept annually. WMP will review. SOC addresses TBD. Correct any bad references.</t>
  </si>
  <si>
    <t xml:space="preserve">Entra ID &gt; Terms of Use &amp; CUI Warning; Appendix B; new CA policy</t>
  </si>
  <si>
    <t xml:space="preserve">G-18</t>
  </si>
  <si>
    <t xml:space="preserve">Application and device mail flow has no design. The decommission gate requires printers, scanners, and ERP relay to be redirected to Exchange Online, but no relay method is defined — and the document already flags that the SPF record and the outbound disclaimer wording are unfinished.</t>
  </si>
  <si>
    <t xml:space="preserve">This is a hard gate on WBS 9.1.5: on-premises Exchange cannot be removed until every relay client is redirected, and in GCC High the relay options (connector with certificate/IP, direct send, SMTP AUTH) each carry different prerequisites.</t>
  </si>
  <si>
    <t xml:space="preserve">Which devices and applications send mail today — MFPs/scanners, ERP/MRP, quoting and shipping systems, alarm and monitoring systems, payroll, marketing platforms?
Which relay method is chosen per client: authenticated SMTP submission, an inbound connector restricted by IP/certificate, or direct send — and do the devices support TLS 1.2 and modern auth?
Does any device only support basic authentication or unencrypted SMTP, and is device replacement or an on-premises relay host in scope?
What is the final SPF record once all senders are known, and are any third-party senders included?
What is the approved CUI disclaimer wording from WMP legal, and which domains sit on the "External" banner allow list?</t>
  </si>
  <si>
    <t xml:space="preserve">Exchange Online &gt; new "Application Mail Flow / SMTP Relay"; Email Authentication</t>
  </si>
  <si>
    <t xml:space="preserve">G-19</t>
  </si>
  <si>
    <t xml:space="preserve">Defender for Office 365 coverage is partial: the design defines Safe Attachments, anti-phishing, anti-malware, and anti-spam for email, but never mentions Safe Links (WBS 2.5.2) or Safe Attachments for SharePoint, OneDrive, and Teams (WBS 2.5.3). The quarantine model is described only in passing (admin-only release, 14-day retention) with no notification recipients or user-release position.</t>
  </si>
  <si>
    <t xml:space="preserve">Safe Links is the control that covers weaponised URLs in mail and Teams; leaving it undefined leaves a gap the WBS has already committed to closing under CMMC SI.L2-3.14.2.</t>
  </si>
  <si>
    <t xml:space="preserve">Name the recipients/mailbox for quarantine and detection notifications (recorded as TBD) and confirm it is monitored.</t>
  </si>
  <si>
    <t xml:space="preserve">WMP (8/24): Yes. Yes, quarantined. Strict. Admin release only. TBD who receives notifications.</t>
  </si>
  <si>
    <t xml:space="preserve">Exchange Online &gt; Safe Attachments / new "Safe Links"</t>
  </si>
  <si>
    <t xml:space="preserve">G-20</t>
  </si>
  <si>
    <t xml:space="preserve">Room and resource mailboxes are undefined. The migration section lists user mailboxes, shared mailboxes, distribution lists, and groups — but not rooms, while the decommission gate and WBS 5.2.5 both assume room resource accounts exist and are recreated rather than migrated.</t>
  </si>
  <si>
    <t xml:space="preserve">Room mailboxes recreated rather than migrated lose their booking history and delegates, and any Teams Room or conference device tied to them needs its own licence and GCC High validation.</t>
  </si>
  <si>
    <t xml:space="preserve">How many room and equipment mailboxes exist, and what are their names, capacities, and booking policies?
Are booking delegates, auto-accept behaviour, and calendar processing settings documented so they can be rebuilt?
Are there Microsoft Teams Rooms devices or third-party conference systems in any of the three sites, and are those models supported in GCC High?
Is existing room calendar history required post-migration, or is a clean rebuild acceptable to WMP?</t>
  </si>
  <si>
    <t xml:space="preserve">Known from WBS 5.2.5: room resource accounts are recreated in GCC High rather than migrated. The count is still recorded as TBD in WBS 1.1.2.</t>
  </si>
  <si>
    <t xml:space="preserve">Exchange Online; Migration Design &gt; Email</t>
  </si>
  <si>
    <t xml:space="preserve">G-21</t>
  </si>
  <si>
    <t xml:space="preserve">How WMP collaborates with the outside world after go-live is undefined. External sharing is disabled in SharePoint and OneDrive, Teams guest access is off, external access is limited to "specific external domains" that are never listed, and CA policy 6 targets "Contractors" — a population that appears nowhere else. Encrypted email to external parties is also undefined.</t>
  </si>
  <si>
    <t xml:space="preserve">WMP is a subcontractor: it must exchange drawings, quotes, and CUI with primes and the DoD daily. Shipping a tenant with every external path closed and no approved alternative creates immediate shadow IT, and GCC High-to-commercial federation is materially restricted.</t>
  </si>
  <si>
    <t xml:space="preserve">Which external domains are on the Teams external access allow list — primes, suppliers, CallTower, Essendis, the RPO?
How are CUI files exchanged with primes today (email, prime's portal, SFTP, DoD SAFE), and which of those is the sanctioned path afterwards?
Is Microsoft Purview Message Encryption (WBS 2.4.3) deployed for outbound CUI email, and how do external recipients open it?
Does a contractor or guest population actually exist? If not, should CA policy 6 be removed; if yes, is Defender for Cloud Apps licensed and available in GCC High for session control?
Who approves an external sharing exception, and how is it recorded for the evidence package?</t>
  </si>
  <si>
    <t xml:space="preserve">SharePoint &gt; External Sharing; Teams &gt; External and Guest Access; CA policy 6</t>
  </si>
  <si>
    <t xml:space="preserve">G-22</t>
  </si>
  <si>
    <t xml:space="preserve">Site and team provisioning governance is missing, and the SharePoint section twice says "see the appendix for a list of sites that will be migrated" — there is no such appendix (the document contains only Appendix A, password matrix, and Appendix B, terms of use).</t>
  </si>
  <si>
    <t xml:space="preserve">WBS 5.4.1 needs a source-to-destination site map before migration can be configured, and unrestricted team/site creation is how CUI sprawls into ungoverned locations.</t>
  </si>
  <si>
    <t xml:space="preserve">What is the actual list of SharePoint sites and Teams to migrate, with owners and destination names?
Should the missing site inventory be added as a new appendix, or referenced as a separate migration workbook?
Who can create Teams and M365 Groups after go-live — all users or a restricted group?
Is there a group expiration/archival policy, and who handles ownerless groups?
What naming standard applies to sites and teams, and is a hub structure needed for the three sites?</t>
  </si>
  <si>
    <t xml:space="preserve">Known bounds from the WBS: up to 5 SharePoint sites (1.1.6, 5.4.3), 15–20 shared mailboxes (1.1.2), light Teams adoption (1.1.5). The named inventory is still outstanding.</t>
  </si>
  <si>
    <t xml:space="preserve">SharePoint &gt; Site Provisioning; new appendix</t>
  </si>
  <si>
    <t xml:space="preserve">G-24</t>
  </si>
  <si>
    <t xml:space="preserve">There is no Windows endpoint configuration design. The MDM section covers iOS and Android and defers Windows in one sentence to "the Intune configuration workstream", while WBS 4.3 enumerates ten Windows profiles (BitLocker, Defender AV, firewall, application control, lockout, audit policy, screen lock, update rings, health attestation) with no design-level settings behind any of them.</t>
  </si>
  <si>
    <t xml:space="preserve">These profiles carry most of the endpoint CMMC evidence (MP.L2-3.8.x, SC.L2-3.13.11/3.13.16, AU.L2-3.3.1, AC.L2-3.1.10, SI.L2-3.14.1); WBS 4.6.2 pilot validation cannot be executed against settings nobody has written down.</t>
  </si>
  <si>
    <t xml:space="preserve">Name the pilot ring members (recorded as TBD).
Settings the response did not cover (Defender AV specifics, firewall rules, audit subcategories, screen-lock timeout): confirm they derive from the SCT baselines per G-01, and record deviations.</t>
  </si>
  <si>
    <t xml:space="preserve">WMP (8/24): No PIN, need FIPS algo, escrow keys to Entra before encrypting, encrypt used space, block USB media in separate policy w/ exception group, Simple Windows Update setup. Device health required else noncompliant. Everything scoped to all devices. Pilot ring members TBD.</t>
  </si>
  <si>
    <t xml:space="preserve">G-25</t>
  </si>
  <si>
    <t xml:space="preserve">Windows provisioning is unresolved. WBS 4.1.2 configures a "Windows Autopilot enrollment profile" and WBS 7.1.5 registers Autopilot hardware hashes — but classic Windows Autopilot is not offered in GCC High; only Autopilot device preparation is. The design says nothing about how new or rebuilt devices are provisioned.</t>
  </si>
  <si>
    <t xml:space="preserve">Two WBS tasks are written against a capability the target cloud does not provide, and without a provisioning path every replacement machine gets built by hand — outside the baseline, outside the evidence.</t>
  </si>
  <si>
    <t xml:space="preserve">Confirm with Microsoft what Autopilot capability the GCC High tenant actually exposes today, and re-plan WBS 4.1.2 and 7.1.5 accordingly.
How are brand-new devices provisioned — Autopilot device preparation, a provisioning package, or manual Entra join plus Intune enrolment?
Who registers device hardware IDs, and is the OEM/reseller able to do it for a GCC High tenant?
What is the provisioning path for a device that must be rebuilt after go-live (failed disk, employee change)?
Is a standard image or a bare Windows 11 install plus Intune the agreed model?</t>
  </si>
  <si>
    <t xml:space="preserve">Correction to record in the design: classic Windows Autopilot is not available in GCC High — Autopilot device preparation is the available path. The existing fleet is converted in place with ForensIT (WBS 7.2), so Autopilot applies only to net-new and rebuilt devices.</t>
  </si>
  <si>
    <t xml:space="preserve">New section: Endpoint Configuration (Windows) &gt; Provisioning</t>
  </si>
  <si>
    <t xml:space="preserve">G-29</t>
  </si>
  <si>
    <t xml:space="preserve">Group Policy is never mentioned in the design, yet WBS 4.2 requires a full GPO export, a GPO-to-Intune equivalence mapping, and a documented list of settings that cannot be replicated — and WBS 7.3 retires GPO entirely.</t>
  </si>
  <si>
    <t xml:space="preserve">Every setting that silently disappears when GPO is unlinked (drive maps, printer deployment, proxy, security options, software installs) becomes an unplanned outage or an unevidenced control gap.</t>
  </si>
  <si>
    <t xml:space="preserve">Can WMP produce a full GPO export (HTML/XML) for all OUs applied to in-scope devices and users?
Which GPO settings have no Intune equivalent, and what is the decision for each — accept, replace, or POA&amp;M?
Which GPOs deliver drive mappings, printer connections, proxy settings, or scheduled tasks that users depend on daily?
Are there GPO-deployed certificates, Wi-Fi profiles, or software installations that must be re-delivered by Intune?
Who signs off that Intune is fully applied before GPOs are unlinked (WBS 7.3.1)?</t>
  </si>
  <si>
    <t xml:space="preserve">Known from WBS 4.2: the gap analysis, equivalence mapping, and exceptions list are already committed deliverables, with exceptions flagged for customer decision and POA&amp;M.</t>
  </si>
  <si>
    <t xml:space="preserve">New section: Endpoint Configuration (Windows) &gt; GPO Replacement</t>
  </si>
  <si>
    <t xml:space="preserve">G-30</t>
  </si>
  <si>
    <t xml:space="preserve">Certificate and network-access dependencies are undefined. The mobile sections promise configuration profiles delivering "Wi-Fi, email, and VPN settings where required" with no authentication method or certificate source, and nothing at all covers Windows 802.1X once devices leave the domain.</t>
  </si>
  <si>
    <t xml:space="preserve">If corporate Wi-Fi uses 802.1X with machine certificates issued by AD auto-enrolment, every Entra-joined device loses network access at the moment of migration — and issuing certificates from Intune requires a SCEP/PKCS connector and a PKI that is not in scope anywhere.</t>
  </si>
  <si>
    <t xml:space="preserve">How does corporate Wi-Fi authenticate today — PSK, 802.1X with certificates, or 802.1X with credentials — at each of the three sites?
Is there an on-premises PKI (AD Certificate Services), and will it stay to issue device certificates through an Intune SCEP or PKCS connector?
If certificate-based Wi-Fi cannot be delivered, is a move to PSK or a separate managed-device SSID acceptable?
Is there a VPN, which client, and does it need per-app or device-tunnel configuration and certificates?
Does the ERP or any line-of-business application require a client certificate today?</t>
  </si>
  <si>
    <t xml:space="preserve">New section: Endpoint Configuration &gt; Certificates and Network Access; MDM configuration profiles</t>
  </si>
  <si>
    <t xml:space="preserve">G-31</t>
  </si>
  <si>
    <t xml:space="preserve">Shared and kiosk workstations on the shop floor are not addressed. The design assumes one identity per user and a compliant personal device; a fabrication floor typically runs shared terminals for time clocks, drawings, work instructions, and machine-tool control.</t>
  </si>
  <si>
    <t xml:space="preserve">Shared credentials break individual accountability under CMMC AC.L2-3.1.1 and IA.L2-3.5.1/3.5.2, and shared machines interact badly with a "require compliant device" CA policy and with per-user OneDrive/Known Folder Move.</t>
  </si>
  <si>
    <t xml:space="preserve">Are there shared or kiosk workstations on the production floor, and how many at each site?
Do shop-floor users have individual accounts today, or are shared logins in use?
Do those terminals need M365 access at all — or only drawing/work-instruction viewing from an internal system?
If shared devices stay, what is the model: shared device mode, kiosk configuration, or fast user switching with individual credentials plus a hardware key or Hello?
Do any workstations run machine-tool or inspection software that pins them to an old Windows build?</t>
  </si>
  <si>
    <t xml:space="preserve">New section: Endpoint Configuration (Windows) &gt; Shared and Kiosk Devices</t>
  </si>
  <si>
    <t xml:space="preserve">G-32</t>
  </si>
  <si>
    <t xml:space="preserve">CA policy 3 asserts macOS as a managed device platform, but no macOS management, compliance policy, or enrolment path exists anywhere in the design or the WBS, and no Mac inventory has been taken.</t>
  </si>
  <si>
    <t xml:space="preserve">If any Mac exists, the compliant-device policy blocks it at go-live; if none exists, the policy is asserting a platform WMP does not manage — either way the assessor will ask.</t>
  </si>
  <si>
    <t xml:space="preserve">Are there any macOS devices in the estate (engineering, design, marketing) and how many?
Are there Linux workstations, iPads used as shop-floor terminals, or other non-Windows endpoints touching M365?
If Macs exist, are they enrolled in Intune with a compliance policy and FileVault, or excluded from M365 access?
Should macOS be removed from CA policy 3's platform list if no Macs are in scope?</t>
  </si>
  <si>
    <t xml:space="preserve">CA policy 3; MDM (Intune) scope statement</t>
  </si>
  <si>
    <t xml:space="preserve">G-33</t>
  </si>
  <si>
    <t xml:space="preserve">Mobile fleet inputs are outstanding: the design records device counts by platform as TBD, leaves the MAM-only access path as an explicitly open item, and does not define which applications beyond Outlook and Teams are deployed or what the loss/wipe process is.</t>
  </si>
  <si>
    <t xml:space="preserve">Rollout cannot be scheduled or licensed without counts, and "MAM-only if needed" left open means the enrolment restriction blocking personal devices may collide with a real business need at go-live.</t>
  </si>
  <si>
    <t xml:space="preserve">How many corporate iOS and Android devices exist, by platform and by site, and who owns the Apple Business Manager account (WBS 6.1.2)?
Is the MAM-only path used at all — and if so, for whom (executives, field staff, a prime's device) given the corporate-owned-only posture?
Which apps beyond Outlook and Teams are deployed — OneDrive, Edge, Authenticator, an ERP or shop-floor app?
What are the app protection settings: PIN complexity, save-as restrictions, backup, offline grace period, jailbreak/root response?
What is the lost/stolen process — who initiates a wipe, selective or full, and within what SLA — and how are devices refreshed and retired?</t>
  </si>
  <si>
    <t xml:space="preserve">MDM (Intune) &gt; Pilot Validation and Rollout; Compliance and Conditional Access</t>
  </si>
  <si>
    <t xml:space="preserve">G-34</t>
  </si>
  <si>
    <t xml:space="preserve">The telephony connectivity model is an open decision — Direct Routing and Operator Connect are both still on the table pending CallTower's GCC High confirmation.</t>
  </si>
  <si>
    <t xml:space="preserve">The model changes SBC ownership, the emergency-calling architecture, the porting method, and the tenant configuration tasks in WBS 8.2.2; nothing downstream can be built until it lands.</t>
  </si>
  <si>
    <t xml:space="preserve">Direct Routing decided — which verified domain hosts the SBC FQDN, and who owns the SBC certificate lifecycle?
Obtain CallTower's GCC High Direct Routing specification in writing and the integration date commitment.</t>
  </si>
  <si>
    <t xml:space="preserve">WMP (8/24): Direct routing via CallTower. Cost not in scope for this doc.</t>
  </si>
  <si>
    <t xml:space="preserve">Teams Voice – CallTower Integration &gt; Connectivity Model</t>
  </si>
  <si>
    <t xml:space="preserve">Essendis + CallTower</t>
  </si>
  <si>
    <t xml:space="preserve">G-35</t>
  </si>
  <si>
    <t xml:space="preserve">The numbering inventory the design commits to producing does not yet exist, and the surrounding commercial facts are undefined: current carrier and contract, who signs the porting Letter of Agency, and which of the ~150 users actually receive a DID. The in-use call flows that WBS 8.2.6 will rebuild are equally unconfirmed.</t>
  </si>
  <si>
    <t xml:space="preserve">Porting cannot start without a signed LOA and an accurate service-address-matched number list; a mismatch or an unterminated carrier contract is the classic cause of a failed cutover weekend.</t>
  </si>
  <si>
    <t xml:space="preserve">Can WMP provide a current carrier bill or CSR listing every DID, main number, fax line, and service number?
Who is the incumbent carrier, when does the contract end, and are there early-termination charges?
Who is authorised to sign the porting LOA, and does the billing name and service address match the carrier record exactly?
Which users get a DID versus Teams calling with no number — do shop-floor users need phones at all?
Which auto attendants, call queues, hunt groups, after-hours routing, and reception/overflow behaviours are in use today and must be rebuilt (each needs a resource account and service number)?</t>
  </si>
  <si>
    <t xml:space="preserve">Teams Voice &gt; Numbering and Number Porting; Voice Features</t>
  </si>
  <si>
    <t xml:space="preserve">WMP + CallTower</t>
  </si>
  <si>
    <t xml:space="preserve">G-36</t>
  </si>
  <si>
    <t xml:space="preserve">Voice endpoints are not inventoried. The design covers users and calling features but never mentions physical or analog endpoints — at a fabrication shop that typically means overhead paging, fax lines, elevator and door phones, alarm and monitoring lines, and loud-environment handsets.</t>
  </si>
  <si>
    <t xml:space="preserve">Analog and paging endpoints have no native path in Teams Phone; discovering them after porting means either a failed cutover or an unplanned ATA/paging gateway purchase.</t>
  </si>
  <si>
    <t xml:space="preserve">Are there analog lines — fax, alarm, elevator, door/gate phone, fire panel, modem — and are those numbers in the porting list?
Is there overhead paging or an intercom on the production floor, and must Teams reach it (paging gateway or ATA)?
What handsets and headsets are in use, are they Teams-certified, and are common-area phones needed in the shop, break room, or lobby?
Are there conference room devices, and do they need Teams Rooms licences validated for GCC High?
Who buys replacement hardware, and is it in the project budget?</t>
  </si>
  <si>
    <t xml:space="preserve">Teams Voice &gt; new "Voice Endpoints" subsection</t>
  </si>
  <si>
    <t xml:space="preserve">G-37</t>
  </si>
  <si>
    <t xml:space="preserve">Emergency calling is defined at site level only. The design registers "a validated emergency address for each location" but does not define dispatchable-location granularity, network-to-location mapping, or the notification path — which for a multi-building fabrication site is where E911 usually fails.</t>
  </si>
  <si>
    <t xml:space="preserve">A dispatchable location that resolves only to a street address sends responders to the front office instead of the plant floor, and Kari's Law/RAY BAUM's Act expects notification and specific location detail.</t>
  </si>
  <si>
    <t xml:space="preserve">What dispatchable-location granularity is required — building, floor, bay, or zone — at each of the three sites?
Which subnets, wireless access points, and switch ports map to which location (needed to build the location information service)?
Who is notified when a 911 call is placed (front desk, plant manager, security), by what mechanism?
How are laptop and mobile users handled when off-site or working remotely?
Who validates each civic address with the carrier, and when is the per-site test call scheduled (WBS 8.3.5)?</t>
  </si>
  <si>
    <t xml:space="preserve">Teams Voice &gt; Emergency Calling (E911)</t>
  </si>
  <si>
    <t xml:space="preserve">G-39</t>
  </si>
  <si>
    <t xml:space="preserve">Source data volumes and mailbox inventory are unquantified. The design names workload types but no counts or sizes; the WBS carries approximations (~150 users, 15–20 shared mailboxes, up to 5 SharePoint sites, rooms TBD) and no data on archives, public folders, or PSTs.</t>
  </si>
  <si>
    <t xml:space="preserve">Volume drives migration duration, bandwidth, batch sizing, and cost; unlisted artifact classes like public folders and PSTs are the ones that surface on cutover weekend with no plan.</t>
  </si>
  <si>
    <t xml:space="preserve">What are the mailbox count and total/largest mailbox sizes, and how many users have online archives enabled?
Do on-premises public folders exist, and are they in scope — migrated to shared mailboxes/M365 groups, or abandoned?
Are there PST files on endpoints or file shares, and does the migration ingest them (they will otherwise be lost when devices are rebuilt)?
Is there a journaling mailbox, third-party archive (Mimecast/Barracuda), or legacy compliance archive to retain or migrate?
What is the total OneDrive and SharePoint volume, and how many mailbox delegations (Full Access, Send As, calendar delegates) must be reproduced?</t>
  </si>
  <si>
    <t xml:space="preserve">Known WBS bounds: ~150 user mailboxes (5.2.3), up to 20 shared mailboxes (5.2.4), up to 5 SharePoint sites (5.4.3), room counts TBD (1.1.2).</t>
  </si>
  <si>
    <t xml:space="preserve">Migration Design &gt; M365 Migration; new inventory appendix</t>
  </si>
  <si>
    <t xml:space="preserve">G-41</t>
  </si>
  <si>
    <t xml:space="preserve">Domain transition mechanics are missing. The design covers DNS record repointing but not the constraint that wisconsinmetalparts.com must be removed from the commercial tenant before it can be added to GCC High (WBS 5.5.5/5.5.6), nor the transition domains, registrar access, TTL plan, or rollback.</t>
  </si>
  <si>
    <t xml:space="preserve">A vanity domain cannot exist in two tenants at once; the removal/re-add sequence creates a hard, irreversible window on cutover weekend that must be planned to the minute.</t>
  </si>
  <si>
    <t xml:space="preserve">Confirm the tenant's initial domain — the design records 'wisconsinmetalparts.microsoftonline.us', an endpoint rather than a tenant domain (expected: wisconsinmetalparts.onmicrosoft.us); WMP marked it unconfirmed.
During the &lt;1 hr domain-release gap: does inbound mail queue/defer acceptably, or does a transition domain carry anything?
Who holds the AWS DNS administrative access for cutover weekend, and what change approval applies? (Decided: TTL to 30 min, 5 days out.)</t>
  </si>
  <si>
    <t xml:space="preserve">WMP (8/24): Known from WBS 5.5.5–5.5.6: the domain must be released from the commercial tenant before it can be added and verified in GCC High.Gap of &lt;1hr. Reduce TTL to 30min 5d out. Domain unconfirmed.</t>
  </si>
  <si>
    <t xml:space="preserve">Entra ID &gt; Custom Domain; Migration Design &gt; Mail Flow Cutover</t>
  </si>
  <si>
    <t xml:space="preserve">G-43</t>
  </si>
  <si>
    <t xml:space="preserve">There is no application integration inventory. The design's Constraints section mentions "third-party integrations referencing legacy URLs" but nothing enumerates the applications that authenticate to Entra ID, call Microsoft Graph, or integrate with mail and files — and many ISVs do not support GCC High endpoints at all.</t>
  </si>
  <si>
    <t xml:space="preserve">An application that cannot be re-registered against GCC High becomes a go-live blocker discovered by users; WBS 9.1.4 also gates decommission on proving no application still authenticates to on-premises Exchange.</t>
  </si>
  <si>
    <t xml:space="preserve">Which applications use Entra ID single sign-on today (ERP/MRP, quoting, HR, CAD/PDM, shipping, quality)?
Which of those vendors support GCC High endpoints, and which need reconfiguration or replacement?
Which applications read or write M365 data through Graph, EWS, or mailbox permissions?
Which service accounts exist for those integrations, how do they authenticate, and are they excluded from MFA/CA policies?</t>
  </si>
  <si>
    <t xml:space="preserve">New section: Assumptions &amp; Dependencies &gt; Application Integrations</t>
  </si>
  <si>
    <t xml:space="preserve">G-45</t>
  </si>
  <si>
    <t xml:space="preserve">The communications plan lists five message types but no detail, and end-user training is not addressed at all — while WBS 2.8.5 explicitly flags CUI labelling training as out of Essendis scope and hands it to WMP.</t>
  </si>
  <si>
    <t xml:space="preserve">Users hit three changes at once (new sign-in and MFA, re-profiled devices, GCC High-specific clients); an unprepared floor turns hypercare into a queue, and untrained users cannot apply the CUI labels the compliance design depends on.</t>
  </si>
  <si>
    <t xml:space="preserve">Set the communications schedule dates once the November cutover weekend is fixed (G-04) — details recorded as to-be-determined.
Define the day-of-cutover user instruction set (sign-in changes, Outlook profile, mobile re-enrolment).
Note (decided): Essendis writes, WMP approves and sends; no training in scope.</t>
  </si>
  <si>
    <t xml:space="preserve">WMP (8/24): Essendis writes, WMP approves and sends on TBD schedule. No training in scope. Communication details to be determined.</t>
  </si>
  <si>
    <t xml:space="preserve">Migration Design &gt; Communications</t>
  </si>
  <si>
    <t xml:space="preserve">G-46</t>
  </si>
  <si>
    <t xml:space="preserve">Device inventory is missing. The design never states how many Windows endpoints exist; WBS 1.1.8 and 7.1.1 both assign the count to WMP and record it as TBD, and nothing defines what happens to devices that cannot meet the Entra join requirements.</t>
  </si>
  <si>
    <t xml:space="preserve">Wave planning, ForensIT licensing, on-site labour across three sites, and the hardware refresh budget all depend on a number nobody has produced.</t>
  </si>
  <si>
    <t xml:space="preserve">How many Windows endpoints exist by site and by type (desktop, laptop, shop-floor terminal, engineering workstation)?
Which devices fail the Windows 10 21H2+/Windows 11 requirement (WBS 7.1.4) or lack TPM 2.0, and are they replaced, rebuilt, or excluded?
Are there devices that cannot be touched — machine-tool controllers, inspection PCs, kiosks — and do they need M365 access?
What is the hardware refresh budget and lead time if replacements are required?</t>
  </si>
  <si>
    <t xml:space="preserve">Servers are out of scope for Defender/Intune per WMP (G-28).</t>
  </si>
  <si>
    <t xml:space="preserve">Migration Design &gt; Device Migration – ForensIT; new inventory appendix</t>
  </si>
  <si>
    <t xml:space="preserve">G-47</t>
  </si>
  <si>
    <t xml:space="preserve">The ForensIT profile conversion is described in six bullets with no execution detail: no per-device runbook, no handling of credential and encryption state, and no treatment of the application-level breakage that a domain-to-Entra identity change causes.</t>
  </si>
  <si>
    <t xml:space="preserve">BitLocker keys currently escrowed to on-premises AD do not follow the device to Entra; Windows Hello, cached credentials, saved application passwords, and mapped resources all reset at conversion. Any of these turns a 30-minute conversion into a rebuild.</t>
  </si>
  <si>
    <t xml:space="preserve">Where are BitLocker recovery keys today, and what is the re-escrow procedure to Entra ID (WBS 7.2.5 requires it as evidence) — suspend/resume or decrypt/re-encrypt?
Is the conversion attended per device or scripted, how long does each take, and is it done on-site at all three locations or remotely?
What happens to Windows Hello enrolment, cached credentials, saved browser and application credentials, and Outlook profiles after conversion?
Which line-of-business applications need re-licensing, re-authentication, or reinstall once the user SID changes (CAD/CAM, ERP client, engineering tools)?
What is the per-device rollback if the conversion fails, and what backup exists beyond "backup of local profiles"?
Is a ForensIT Corporate/Deployment licence purchased for the fleet size, and who runs the tool?</t>
  </si>
  <si>
    <t xml:space="preserve">Migration Design &gt; Device Migration – ForensIT User Profile Wizard</t>
  </si>
  <si>
    <t xml:space="preserve">G-48</t>
  </si>
  <si>
    <t xml:space="preserve">Access to on-premises resources from Entra-joined devices is unaddressed. Once devices leave the domain, Kerberos-based access to file shares, print servers, and the ERP client stops working the way it does today — and the design never mentions it.</t>
  </si>
  <si>
    <t xml:space="preserve">This is the most common post-migration outage in an Entra-join project: users lose mapped drives, printers, and application logins on the Monday after their device is converted, at three sites simultaneously.</t>
  </si>
  <si>
    <t xml:space="preserve">Which on-premises resources do users reach daily — file shares, print servers, ERP/MRP, scan-to-folder destinations, licence servers?
How is authentication preserved from an Entra-joined device — Entra Kerberos/cloud trust, an Entra hybrid-join exception for some devices, or credential prompts with saved credentials?
How are drive mappings redelivered once GPO is retired — Intune script, or eliminated by moving the content to SharePoint/OneDrive?
How are printers deployed — Universal Print (confirm GCC High availability), Intune-deployed direct IP printing, or a print server that survives?
Does the ERP client require domain membership or integrated Windows authentication?</t>
  </si>
  <si>
    <t xml:space="preserve">WMP (G-26): no legacy applications requiring Kerberos identified — file shares, print, and scan-to-folder delivery still to confirm.</t>
  </si>
  <si>
    <t xml:space="preserve">New section: Endpoint Configuration &gt; On-Premises Resource Access; Device Migration</t>
  </si>
  <si>
    <t xml:space="preserve">G-49</t>
  </si>
  <si>
    <t xml:space="preserve">The pre-decommission gate lists what must be true but not how it is proven. "No applications or services still authenticating" and "no SMTP relay dependencies" are assertions with no monitoring method, no observation period, and no evidence artifact; the monitored-hold duration is left as "until confirmed idle".</t>
  </si>
  <si>
    <t xml:space="preserve">Decommission is one-way past the point of hybrid removal; a relay client discovered afterwards means mail loss with only a server backup as the recovery route.</t>
  </si>
  <si>
    <t xml:space="preserve">How are residual connections detected — Exchange protocol/SMTP receive logs, connection filtering, firewall logs — and who reviews them?
How long is the monitored hold (7, 14, 30 days) and what defines "idle" quantitatively?
What evidence artifact closes each gate item, and does it go into the CMMC evidence package?
Who at WMP signs the written decommission authorisation, and is the signature form agreed?
Is the Exchange server left powered on but blocked at the firewall during the hold, or fully serviceable?</t>
  </si>
  <si>
    <t xml:space="preserve">Migration Design &gt; Pre-Decommission Validation Gate; Monitored Hold</t>
  </si>
  <si>
    <t xml:space="preserve">G-50</t>
  </si>
  <si>
    <t xml:space="preserve">The document states that after decommission, recipient management moves to "Entra ID Connect and PowerShell against Active Directory attributes" with no Exchange management server retained — but no runbook, tooling, or skills transfer is defined for that day-2 reality.</t>
  </si>
  <si>
    <t xml:space="preserve">Creating a mailbox, adding a proxy address, or building a distribution list from raw AD attributes is error-prone and unfamiliar; WMP will need to do it in week one after handoff and there is nothing written to follow.</t>
  </si>
  <si>
    <t xml:space="preserve">What is the documented procedure for creating a new mailbox-enabled user, adding an alias, and creating a distribution group with no Exchange tools?
Which attributes must be set on-premises (proxyAddresses, mailNickname, targetAddress) versus managed in the cloud?
Is a management shell, script set, or the Exchange management tools-only install retained as an alternative?
Who at WMP is trained and named for this, and is it in the as-configured document?
Would moving to cloud-mastered identity (retiring Entra Connect) remove this problem entirely, and is that on the roadmap?</t>
  </si>
  <si>
    <t xml:space="preserve">Migration Design &gt; Hybrid Configuration and Directory Services; As-Configured document</t>
  </si>
  <si>
    <t xml:space="preserve">G-51</t>
  </si>
  <si>
    <t xml:space="preserve">The post-hypercare support model is explicitly undefined — the document states support channels "will be clearly defined during the hypercare period" and leaves escalation paths and response times blank.</t>
  </si>
  <si>
    <t xml:space="preserve">At the end of the 40-hour post-cutover window (WBS 5.6) the tenant becomes someone's day job; without a named model, CMMC-relevant tasks like alert triage and access review simply stop happening.</t>
  </si>
  <si>
    <t xml:space="preserve">What are the hypercare duration, hours of coverage, and response targets, and how do they step down?
Where do users report problems (helpdesk email, phone, Teams), and who staffs tier 1 at shift start?
What is the escalation path to Essendis, to Microsoft (GCC High premier/unified?), and to CallTower for carrier faults?
Does Essendis retain administrative access after handoff, under what agreement, and with what US-person attestation?</t>
  </si>
  <si>
    <t xml:space="preserve">WMP operates the tenant after handoff (G-55). Remaining: hypercare step-down, escalation paths, and user-facing support channels.</t>
  </si>
  <si>
    <t xml:space="preserve">Migration Design &gt; Communications; new "Operations &amp; Support Model" section</t>
  </si>
  <si>
    <t xml:space="preserve">G-52</t>
  </si>
  <si>
    <t xml:space="preserve">There is no monitoring or alerting design. The only alert in the document is break-glass sign-in detection "via Log Analytics in Azure" — a service that is out of scope — and nothing routes Defender, Intune, identity, or service-health alerts to a human.</t>
  </si>
  <si>
    <t xml:space="preserve">CMMC AU.L2-3.3.1/3.3.5 and IR.L2-3.6.1 expect logs to be reviewed and incidents detected; alerts nobody receives are not a detective control, and the break-glass alert as designed cannot be built.</t>
  </si>
  <si>
    <t xml:space="preserve">Which M365-native mechanism replaces Log Analytics for break-glass sign-in alerting — an Entra risk/activity alert, a Purview audit alert policy, or a Defender custom detection?
Who receives Defender for Office, Defender for Endpoint, Intune compliance, and Entra risky-user alerts, and to what response SLA?
Is a SIEM in the picture at all? Sentinel requires an Azure Government subscription, which is out of scope — is a third-party SIEM or manual review the answer?
Who monitors Microsoft 365 service health and communicates outages to users?
What is the periodic log review cadence and who evidences that it happened?</t>
  </si>
  <si>
    <t xml:space="preserve">Constraint to design around: Azure is out of scope, so the documented Log Analytics approach for break-glass alerting is not available and needs an M365-native replacement.</t>
  </si>
  <si>
    <t xml:space="preserve">Baseline Security &gt; Emergency Accounts; new "Monitoring &amp; Alerting" section</t>
  </si>
  <si>
    <t xml:space="preserve">G-58</t>
  </si>
  <si>
    <t xml:space="preserve">CUI information protection is undefined. Sensitivity labels are not mentioned anywhere in the design, and DLP appears only as a passing reference ("Communication Compliance or DLP policies") and a Deployment phase 2 bullet — while WBS 2.3 and 2.8 commit to a full sensitive-information-type, label, and DLP policy set.</t>
  </si>
  <si>
    <t xml:space="preserve">Labelling and DLP are the mechanisms that make CUI identifiable and containable in M365 (CMMC MP.L2-3.8.x, AC.L2-3.1.3 control of CUI flow); without a taxonomy the design has no way to distinguish CUI from ordinary business data.</t>
  </si>
  <si>
    <t xml:space="preserve">Does the CUI label apply encryption and/or visual marking, or is it classification-only?
Does DLP block on the CUI label alone (labeling is manual) or also on content detection? If content detection: provide WMP's CUI identifiers (part/contract/drawing numbers).
Endpoint DLP (confirmed in scope): which restrictions — USB, print, clipboard — and is its licensing confirmed (ties to G-06)?</t>
  </si>
  <si>
    <t xml:space="preserve">WMP (8/24): CUI label is the only part of taxonomy in scope. Manual labeling. DLP should block. Endpoint DLP in scope. Communication compliance out of scope.</t>
  </si>
  <si>
    <t xml:space="preserve">New section: M365 Design &gt; Information Protection (Labels and DLP)</t>
  </si>
  <si>
    <t xml:space="preserve">G-60</t>
  </si>
  <si>
    <t xml:space="preserve">Audit logging is mentioned once, for Teams ("ensure audit logging is on"). The unified audit log, its retention duration, mailbox audit configuration, and log export are not defined — while WBS 2.6 commits to all of them, including a 90-day minimum.</t>
  </si>
  <si>
    <t xml:space="preserve">CMMC AU.L2-3.3.1/3.3.2 requires audit records sufficient to trace user actions, and retention duration is a licensing decision (extended retention needs a Purview Audit Premium/G5-class entitlement) that has to be made before go-live.</t>
  </si>
  <si>
    <t xml:space="preserve">Is the unified audit log enabled tenant-wide at tenant initialisation, and is that verified as evidence?
What audit retention is required — the 90-day minimum in the WBS, one year, or three — and does the chosen SKU support it?
Is mailbox auditing enabled for owner, delegate, and admin actions, and with which audited action set?
How are audit logs exported or preserved beyond the tenant retention window, given no Azure/Sentinel in scope?
Who runs the periodic audit review, on what cadence, and how is the review itself evidenced?</t>
  </si>
  <si>
    <t xml:space="preserve">Known from WBS 2.6.2: audit retention is set to meet a CMMC 90-day minimum — confirm whether WMP or the RPO requires longer.</t>
  </si>
  <si>
    <t xml:space="preserve">New section: Baseline Security &gt; Audit Logging and Retention</t>
  </si>
  <si>
    <t xml:space="preserve">Essendis + RPO</t>
  </si>
  <si>
    <t xml:space="preserve">Item</t>
  </si>
  <si>
    <t xml:space="preserve">WMP Decision (8/24/2026)</t>
  </si>
  <si>
    <t xml:space="preserve">Follow-through</t>
  </si>
  <si>
    <t xml:space="preserve">G-05</t>
  </si>
  <si>
    <t xml:space="preserve">End state of the source Microsoft 365 Commercial tenant is undefined — the design ends at cutover and never says what happens to the commercial tenant or the CUI left in it</t>
  </si>
  <si>
    <t xml:space="preserve">Entra connect should be disabled from old tenant, but then it will be left for customer to decom fuilly.</t>
  </si>
  <si>
    <t xml:space="preserve">Config action: disable Entra Connect against the commercial tenant at cutover; WMP decommissions the old tenant fully thereafter.</t>
  </si>
  <si>
    <t xml:space="preserve">G-10</t>
  </si>
  <si>
    <t xml:space="preserve">No statement of what remains on-premises after Exchange decommission and GPO retirement</t>
  </si>
  <si>
    <t xml:space="preserve">legacy app authentication. AD retirement not in scope.</t>
  </si>
  <si>
    <t xml:space="preserve">Design note: on-premises AD remains solely for legacy application authentication; AD retirement out of scope.</t>
  </si>
  <si>
    <t xml:space="preserve">G-16</t>
  </si>
  <si>
    <t xml:space="preserve">The Locations section references a Conditional Access policy named "Geo Block (non-US)" and says to see the Conditional Access section — but no such policy exists in the nine defined policies</t>
  </si>
  <si>
    <t xml:space="preserve">geoblock outside of US and add a travelers exception group.</t>
  </si>
  <si>
    <t xml:space="preserve">Design/config action: add CA policy 10 'Geo Block (non-US)' with a Travelers exception group (fixes the dangling reference).</t>
  </si>
  <si>
    <t xml:space="preserve">G-23</t>
  </si>
  <si>
    <t xml:space="preserve">OneDrive client configuration is thin and one setting is incompatible with the target state: the design restricts sync to "PCs joined to specific domains", which relies on an AD domain GUID — but WBS 7 removes those endpoints from the domain</t>
  </si>
  <si>
    <t xml:space="preserve">restrict by tenant ID. Silently before device migraton.Depends on license but It should be enough for users.Retention out of scope.</t>
  </si>
  <si>
    <t xml:space="preserve">Config action: OneDrive sync restricted by GCC High tenant ID; Known Folder Move enabled silently before device migration; quota per licence; leaver-retention handling out of scope.</t>
  </si>
  <si>
    <t xml:space="preserve">G-26</t>
  </si>
  <si>
    <t xml:space="preserve">Local administrator rights and Windows LAPS are not addressed anywhere in the design or the WBS</t>
  </si>
  <si>
    <t xml:space="preserve">Users will not be local admin Device joiner should not be local admin. LAPS will be configured with WMPAdmin user to rotate password every 30d or after it's been used. Account management policy in place to keep only WMPAdmin account in Local Administrators. IT admins will be able to elevate using WMPAdmin. no legacy apps needing kerberos or admin rights have been identified.</t>
  </si>
  <si>
    <t xml:space="preserve">Config action: users are not local admins; joiner-admin suppressed; Windows LAPS rotates WMPAdmin (30-day and after use); account-management policy keeps only WMPAdmin in local Administrators; IT elevates via WMPAdmin.</t>
  </si>
  <si>
    <t xml:space="preserve">G-27</t>
  </si>
  <si>
    <t xml:space="preserve">Application control is committed to in WBS 4.3.5 (AppLocker/WDAC, CMMC CM.2.061) but has no design, no policy model, and no application inventory behind it</t>
  </si>
  <si>
    <t xml:space="preserve">WDAC in audit mode to allow customer to create tailored WDAC policy.</t>
  </si>
  <si>
    <t xml:space="preserve">Config action: deploy WDAC in audit mode; WMP tailors and enforces its own policy afterwards.</t>
  </si>
  <si>
    <t xml:space="preserve">G-28</t>
  </si>
  <si>
    <t xml:space="preserve">Microsoft Defender for Endpoint appears only in the WBS (2.5.5, "confirm licensing") and never in the design — no plan selection, no onboarding method, no alert routing, no coverage decision for servers</t>
  </si>
  <si>
    <t xml:space="preserve">Defender for Endpoint P2. Licenses to be attached. EDR in block mode, tamper protection enabled. Servers out of scope. WMP managing after handoff.</t>
  </si>
  <si>
    <t xml:space="preserve">Config action: Defender for Endpoint P2, EDR block mode, tamper protection on; servers out of scope; WMP manages after handoff. Licences arrive with the G-06 quote.</t>
  </si>
  <si>
    <t xml:space="preserve">G-38</t>
  </si>
  <si>
    <t xml:space="preserve">Source-side migration prerequisites are not captured: source tenant administrative access, the AvePoint Fly deployment model, tenant-to-tenant app consent, and confirmation that Fly supports a Commercial-to-GCC High cross-cloud move at all</t>
  </si>
  <si>
    <t xml:space="preserve">Yes it's supported. Global admin access available for whole migration. Avepoint SaaS in Azure East US. Forget app registration consent and throttling.</t>
  </si>
  <si>
    <t xml:space="preserve">No further action: Fly supports Commercial-to-GCC High; source Global Admin available for the whole window; AvePoint SaaS runs in Azure East US; app-consent/throttling tracking waived by WMP.</t>
  </si>
  <si>
    <t xml:space="preserve">G-40</t>
  </si>
  <si>
    <t xml:space="preserve">Coexistence during the migration window is not designed</t>
  </si>
  <si>
    <t xml:space="preserve">One cutover event.</t>
  </si>
  <si>
    <t xml:space="preserve">Design input: single cutover event — coexistence window minimal, no cross-tenant free/busy or Teams federation needed.</t>
  </si>
  <si>
    <t xml:space="preserve">G-42</t>
  </si>
  <si>
    <t xml:space="preserve">Migration scope beyond mail, files, and Teams content is undefined, and the design over-promises in one place: it lists "Chat History" as included while WBS 5.3.3 qualifies it as "where supported by tooling"</t>
  </si>
  <si>
    <t xml:space="preserve">Yes. Planner/Forms/Viva/Power Automate/PowerApps/PowerBI not in migration scope.</t>
  </si>
  <si>
    <t xml:space="preserve">Design input: chat/channel migration confirmed supported; Planner, Forms, Viva, Power Automate, Power Apps, Power BI are out of migration scope.</t>
  </si>
  <si>
    <t xml:space="preserve">G-44</t>
  </si>
  <si>
    <t xml:space="preserve">On-premises file shares are not mentioned anywhere</t>
  </si>
  <si>
    <t xml:space="preserve">fileserver migration out of scope</t>
  </si>
  <si>
    <t xml:space="preserve">Scope decision: on-premises file-server migration out of scope.</t>
  </si>
  <si>
    <t xml:space="preserve">G-53</t>
  </si>
  <si>
    <t xml:space="preserve">Backup and recoverability for M365 data is not addressed</t>
  </si>
  <si>
    <t xml:space="preserve">Backups out of scope.</t>
  </si>
  <si>
    <t xml:space="preserve">Scope decision: Microsoft 365 backup out of scope — native retention, versioning, and recycle bins accepted.</t>
  </si>
  <si>
    <t xml:space="preserve">G-54</t>
  </si>
  <si>
    <t xml:space="preserve">Recurring operational tasks are never listed</t>
  </si>
  <si>
    <t xml:space="preserve">WMP owns all.</t>
  </si>
  <si>
    <t xml:space="preserve">Ownership decision: WMP owns all recurring renewals and reviews after handoff (include the renewal list in handoff documentation per G-63).</t>
  </si>
  <si>
    <t xml:space="preserve">G-55</t>
  </si>
  <si>
    <t xml:space="preserve">There is no change control process for the tenant after go-live</t>
  </si>
  <si>
    <t xml:space="preserve">WMP owns after handoff.</t>
  </si>
  <si>
    <t xml:space="preserve">Ownership decision: WMP owns tenant change control after handoff.</t>
  </si>
  <si>
    <t xml:space="preserve">G-56</t>
  </si>
  <si>
    <t xml:space="preserve">The CMMC assessment boundary is never defined</t>
  </si>
  <si>
    <t xml:space="preserve">All out of scope.</t>
  </si>
  <si>
    <t xml:space="preserve">Scope decision: CMMC boundary definition is out of this engagement's scope (RPO domain).</t>
  </si>
  <si>
    <t xml:space="preserve">G-57</t>
  </si>
  <si>
    <t xml:space="preserve">There is no traceability between the design's settings and the CMMC/NIST SP 800-171 practices, in either direction: the RPO control mapping that WBS 2.1.1 makes a hard gate has not been received, and the evidence package and Solution Configuration Document that WBS 2.9 delivers have no defined format or maintainer</t>
  </si>
  <si>
    <t xml:space="preserve">Essendis configuring all applicable M365 settings for control alignment using their approach and judgement - compliance is on the RPO and out of scope.</t>
  </si>
  <si>
    <t xml:space="preserve">Scope decision: Essendis configures all applicable M365 settings using its own approach and judgment; compliance mapping and evidence are the RPO's responsibility.</t>
  </si>
  <si>
    <t xml:space="preserve">G-59</t>
  </si>
  <si>
    <t xml:space="preserve">Retention and disposition are defined only in fragments — OneDrive 7 years for leavers, Teams recordings 180 days, spam quarantine 14 days, SharePoint 500 versions</t>
  </si>
  <si>
    <t xml:space="preserve">retention is out of scope.</t>
  </si>
  <si>
    <t xml:space="preserve">Scope decision: organisation-wide retention design out of scope; the existing per-workload fragments stand.</t>
  </si>
  <si>
    <t xml:space="preserve">G-61</t>
  </si>
  <si>
    <t xml:space="preserve">DFARS 252.204-7012 operational obligations are not designed</t>
  </si>
  <si>
    <t xml:space="preserve">Out of scope</t>
  </si>
  <si>
    <t xml:space="preserve">Scope decision: DFARS 7012 incident-response operations out of scope (SOC contact placeholders remain tracked in G-17).</t>
  </si>
  <si>
    <t xml:space="preserve">G-62</t>
  </si>
  <si>
    <t xml:space="preserve">Only CallTower has a shared responsibility matrix</t>
  </si>
  <si>
    <t xml:space="preserve">Out of scope - not handling compliance and Avepoint not handling CUI.</t>
  </si>
  <si>
    <t xml:space="preserve">Scope decision: vendor SRM / flow-down collection out of scope; WMP position recorded: AvePoint does not handle CUI.</t>
  </si>
  <si>
    <t xml:space="preserve">G-63</t>
  </si>
  <si>
    <t xml:space="preserve">Documentation &amp; Handoff</t>
  </si>
  <si>
    <t xml:space="preserve">The documentation deliverables and their acceptance are not stated in the design</t>
  </si>
  <si>
    <t xml:space="preserve">Design Document, Configuration Document. WMP owns everything after handoff.</t>
  </si>
  <si>
    <t xml:space="preserve">Decision: documentation set is the Solution Design Document plus the Configuration Document; WMP owns all documentation after handoff.</t>
  </si>
  <si>
    <t xml:space="preserve">G-64</t>
  </si>
  <si>
    <t xml:space="preserve">The design contains no diagrams</t>
  </si>
  <si>
    <t xml:space="preserve">No diagrams are in scope.</t>
  </si>
  <si>
    <t xml:space="preserve">Scope decision: no diagrams in scope.</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</si>
</sst>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color rgb="FF595959"/>
      <name val="Arial"/>
      <family val="0"/>
      <charset val="1"/>
    </font>
    <font>
      <sz val="9"/>
      <color rgb="FF595959"/>
      <name val="Arial"/>
      <family val="0"/>
      <charset val="1"/>
    </font>
    <font>
      <b val="true"/>
      <sz val="11"/>
      <color rgb="FF1F4E79"/>
      <name val="Arial"/>
      <family val="0"/>
      <charset val="1"/>
    </font>
    <font>
      <sz val="10"/>
      <color rgb="FF000000"/>
      <name val="Arial"/>
      <family val="0"/>
      <charset val="1"/>
    </font>
    <font>
      <b val="true"/>
      <sz val="10"/>
      <color rgb="FF000000"/>
      <name val="Arial"/>
      <family val="0"/>
      <charset val="1"/>
    </font>
    <font>
      <sz val="9"/>
      <color rgb="FF000000"/>
      <name val="Arial"/>
      <family val="0"/>
      <charset val="1"/>
    </font>
    <font>
      <sz val="9"/>
      <name val="Arial"/>
      <family val="0"/>
      <charset val="1"/>
    </font>
    <font>
      <b val="true"/>
      <sz val="9"/>
      <color rgb="FF000000"/>
      <name val="Arial"/>
      <family val="0"/>
      <charset val="1"/>
    </font>
    <font>
      <b val="true"/>
      <sz val="9"/>
      <name val="Arial"/>
      <family val="0"/>
      <charset val="1"/>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CE4E4"/>
        <bgColor rgb="FFFFF3DC"/>
      </patternFill>
    </fill>
    <fill>
      <patternFill patternType="solid">
        <fgColor rgb="FFFFF3D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FFF3D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4"/>
    <col collapsed="false" customWidth="true" hidden="false" outlineLevel="0" max="4" min="4" style="0" width="4"/>
    <col collapsed="false" customWidth="true" hidden="false" outlineLevel="0" max="5" min="5" style="0" width="26"/>
    <col collapsed="false" customWidth="true" hidden="false" outlineLevel="0" max="6" min="6" style="0" width="14"/>
  </cols>
  <sheetData>
    <row r="2" customFormat="false" ht="17.3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57.75" hidden="false" customHeight="true" outlineLevel="0" collapsed="false">
      <c r="B7" s="5" t="s">
        <v>4</v>
      </c>
      <c r="C7" s="5"/>
      <c r="D7" s="5"/>
      <c r="E7" s="5"/>
      <c r="F7" s="5"/>
    </row>
    <row r="9" customFormat="false" ht="15" hidden="false" customHeight="false" outlineLevel="0" collapsed="false">
      <c r="B9" s="4" t="s">
        <v>5</v>
      </c>
    </row>
    <row r="10" customFormat="false" ht="15" hidden="false" customHeight="false" outlineLevel="0" collapsed="false">
      <c r="B10" s="6" t="s">
        <v>6</v>
      </c>
    </row>
    <row r="11" customFormat="false" ht="30" hidden="false" customHeight="true" outlineLevel="0" collapsed="false">
      <c r="B11" s="7" t="s">
        <v>7</v>
      </c>
      <c r="C11" s="7"/>
      <c r="D11" s="7"/>
      <c r="E11" s="7"/>
      <c r="F11" s="7"/>
    </row>
    <row r="13" customFormat="false" ht="15" hidden="false" customHeight="false" outlineLevel="0" collapsed="false">
      <c r="B13" s="6" t="s">
        <v>8</v>
      </c>
    </row>
    <row r="14" customFormat="false" ht="30" hidden="false" customHeight="true" outlineLevel="0" collapsed="false">
      <c r="B14" s="7" t="s">
        <v>9</v>
      </c>
      <c r="C14" s="7"/>
      <c r="D14" s="7"/>
      <c r="E14" s="7"/>
      <c r="F14" s="7"/>
    </row>
    <row r="16" customFormat="false" ht="15" hidden="false" customHeight="false" outlineLevel="0" collapsed="false">
      <c r="B16" s="6" t="s">
        <v>10</v>
      </c>
    </row>
    <row r="17" customFormat="false" ht="30" hidden="false" customHeight="true" outlineLevel="0" collapsed="false">
      <c r="B17" s="7" t="s">
        <v>11</v>
      </c>
      <c r="C17" s="7"/>
      <c r="D17" s="7"/>
      <c r="E17" s="7"/>
      <c r="F17" s="7"/>
    </row>
    <row r="19" customFormat="false" ht="15" hidden="false" customHeight="false" outlineLevel="0" collapsed="false">
      <c r="B19" s="4" t="s">
        <v>12</v>
      </c>
    </row>
    <row r="20" customFormat="false" ht="15" hidden="false" customHeight="false" outlineLevel="0" collapsed="false">
      <c r="B20" s="6" t="s">
        <v>13</v>
      </c>
      <c r="E20" s="6" t="s">
        <v>14</v>
      </c>
    </row>
    <row r="21" customFormat="false" ht="15" hidden="false" customHeight="false" outlineLevel="0" collapsed="false">
      <c r="B21" s="8" t="s">
        <v>15</v>
      </c>
      <c r="C21" s="9" t="n">
        <f aca="false">COUNTIF('Gap Register'!B:B,B21)</f>
        <v>8</v>
      </c>
      <c r="E21" s="8" t="s">
        <v>16</v>
      </c>
      <c r="F21" s="9" t="n">
        <f aca="false">COUNTIF('Gap Register'!J:J,"High")</f>
        <v>29</v>
      </c>
    </row>
    <row r="22" customFormat="false" ht="15" hidden="false" customHeight="false" outlineLevel="0" collapsed="false">
      <c r="B22" s="8" t="s">
        <v>17</v>
      </c>
      <c r="C22" s="9" t="n">
        <f aca="false">COUNTIF('Gap Register'!B:B,B22)</f>
        <v>3</v>
      </c>
      <c r="E22" s="8" t="s">
        <v>18</v>
      </c>
      <c r="F22" s="9" t="n">
        <f aca="false">COUNTIF('Gap Register'!J:J,"Medium")</f>
        <v>14</v>
      </c>
    </row>
    <row r="23" customFormat="false" ht="15" hidden="false" customHeight="false" outlineLevel="0" collapsed="false">
      <c r="B23" s="8" t="s">
        <v>19</v>
      </c>
      <c r="C23" s="9" t="n">
        <f aca="false">COUNTIF('Gap Register'!B:B,B23)</f>
        <v>2</v>
      </c>
      <c r="E23" s="8" t="s">
        <v>20</v>
      </c>
      <c r="F23" s="9" t="n">
        <f aca="false">COUNTIF('Gap Register'!J:J,"Low")</f>
        <v>0</v>
      </c>
    </row>
    <row r="24" customFormat="false" ht="15" hidden="false" customHeight="false" outlineLevel="0" collapsed="false">
      <c r="B24" s="8" t="s">
        <v>21</v>
      </c>
      <c r="C24" s="9" t="n">
        <f aca="false">COUNTIF('Gap Register'!B:B,B24)</f>
        <v>5</v>
      </c>
      <c r="E24" s="10" t="s">
        <v>22</v>
      </c>
      <c r="F24" s="11" t="n">
        <f aca="false">COUNTA('Gap Register'!A:A)-1</f>
        <v>43</v>
      </c>
    </row>
    <row r="25" customFormat="false" ht="15" hidden="false" customHeight="false" outlineLevel="0" collapsed="false">
      <c r="B25" s="8" t="s">
        <v>23</v>
      </c>
      <c r="C25" s="9" t="n">
        <f aca="false">COUNTIF('Gap Register'!B:B,B25)</f>
        <v>3</v>
      </c>
      <c r="E25" s="10" t="s">
        <v>24</v>
      </c>
      <c r="F25" s="11" t="n">
        <f aca="false">COUNTA('Resolved Decisions'!A:A)-1</f>
        <v>21</v>
      </c>
    </row>
    <row r="26" customFormat="false" ht="15" hidden="false" customHeight="false" outlineLevel="0" collapsed="false">
      <c r="B26" s="8" t="s">
        <v>25</v>
      </c>
      <c r="C26" s="9" t="n">
        <f aca="false">COUNTIF('Gap Register'!B:B,B26)</f>
        <v>3</v>
      </c>
    </row>
    <row r="27" customFormat="false" ht="15" hidden="false" customHeight="false" outlineLevel="0" collapsed="false">
      <c r="B27" s="8" t="s">
        <v>26</v>
      </c>
      <c r="C27" s="9" t="n">
        <f aca="false">COUNTIF('Gap Register'!B:B,B27)</f>
        <v>2</v>
      </c>
    </row>
    <row r="28" customFormat="false" ht="15" hidden="false" customHeight="false" outlineLevel="0" collapsed="false">
      <c r="B28" s="8" t="s">
        <v>27</v>
      </c>
      <c r="C28" s="9" t="n">
        <f aca="false">COUNTIF('Gap Register'!B:B,B28)</f>
        <v>4</v>
      </c>
    </row>
    <row r="29" customFormat="false" ht="15" hidden="false" customHeight="false" outlineLevel="0" collapsed="false">
      <c r="B29" s="8" t="s">
        <v>28</v>
      </c>
      <c r="C29" s="9" t="n">
        <f aca="false">COUNTIF('Gap Register'!B:B,B29)</f>
        <v>4</v>
      </c>
    </row>
    <row r="30" customFormat="false" ht="15" hidden="false" customHeight="false" outlineLevel="0" collapsed="false">
      <c r="B30" s="8" t="s">
        <v>29</v>
      </c>
      <c r="C30" s="9" t="n">
        <f aca="false">COUNTIF('Gap Register'!B:B,B30)</f>
        <v>3</v>
      </c>
    </row>
    <row r="31" customFormat="false" ht="15" hidden="false" customHeight="false" outlineLevel="0" collapsed="false">
      <c r="B31" s="8" t="s">
        <v>30</v>
      </c>
      <c r="C31" s="9" t="n">
        <f aca="false">COUNTIF('Gap Register'!B:B,B31)</f>
        <v>2</v>
      </c>
    </row>
    <row r="32" customFormat="false" ht="15" hidden="false" customHeight="false" outlineLevel="0" collapsed="false">
      <c r="B32" s="8" t="s">
        <v>31</v>
      </c>
      <c r="C32" s="9" t="n">
        <f aca="false">COUNTIF('Gap Register'!B:B,B32)</f>
        <v>2</v>
      </c>
    </row>
    <row r="33" customFormat="false" ht="15" hidden="false" customHeight="false" outlineLevel="0" collapsed="false">
      <c r="B33" s="8" t="s">
        <v>32</v>
      </c>
      <c r="C33" s="9" t="n">
        <f aca="false">COUNTIF('Gap Register'!B:B,B33)</f>
        <v>2</v>
      </c>
    </row>
  </sheetData>
  <mergeCells count="4">
    <mergeCell ref="B7:F7"/>
    <mergeCell ref="B11:F11"/>
    <mergeCell ref="B14:F14"/>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4"/>
    <col collapsed="false" customWidth="true" hidden="false" outlineLevel="0" max="4" min="4" style="0" width="20"/>
    <col collapsed="false" customWidth="true" hidden="false" outlineLevel="0" max="5" min="5" style="0" width="46"/>
    <col collapsed="false" customWidth="true" hidden="false" outlineLevel="0" max="6" min="6" style="0" width="62"/>
    <col collapsed="false" customWidth="true" hidden="false" outlineLevel="0" max="7" min="7" style="0" width="40"/>
    <col collapsed="false" customWidth="true" hidden="false" outlineLevel="0" max="8" min="8" style="0" width="26"/>
    <col collapsed="false" customWidth="true" hidden="false" outlineLevel="0" max="9" min="9" style="0" width="16"/>
    <col collapsed="false" customWidth="true" hidden="false" outlineLevel="0" max="10" min="10" style="0" width="9"/>
    <col collapsed="false" customWidth="true" hidden="false" outlineLevel="0" max="11" min="11" style="0" width="8"/>
  </cols>
  <sheetData>
    <row r="1" customFormat="false" ht="15" hidden="false" customHeight="false" outlineLevel="0" collapsed="false">
      <c r="A1" s="12" t="s">
        <v>33</v>
      </c>
      <c r="B1" s="12" t="s">
        <v>34</v>
      </c>
      <c r="C1" s="12" t="s">
        <v>35</v>
      </c>
      <c r="D1" s="12" t="s">
        <v>6</v>
      </c>
      <c r="E1" s="12" t="s">
        <v>36</v>
      </c>
      <c r="F1" s="12" t="s">
        <v>37</v>
      </c>
      <c r="G1" s="12" t="s">
        <v>38</v>
      </c>
      <c r="H1" s="12" t="s">
        <v>39</v>
      </c>
      <c r="I1" s="12" t="s">
        <v>10</v>
      </c>
      <c r="J1" s="12" t="s">
        <v>8</v>
      </c>
      <c r="K1" s="12" t="s">
        <v>40</v>
      </c>
    </row>
    <row r="2" customFormat="false" ht="147" hidden="false" customHeight="false" outlineLevel="0" collapsed="false">
      <c r="A2" s="13" t="s">
        <v>41</v>
      </c>
      <c r="B2" s="13" t="s">
        <v>15</v>
      </c>
      <c r="C2" s="13" t="s">
        <v>42</v>
      </c>
      <c r="D2" s="13" t="s">
        <v>43</v>
      </c>
      <c r="E2" s="13" t="s">
        <v>44</v>
      </c>
      <c r="F2" s="13" t="s">
        <v>45</v>
      </c>
      <c r="G2" s="13" t="s">
        <v>46</v>
      </c>
      <c r="H2" s="13" t="s">
        <v>47</v>
      </c>
      <c r="I2" s="13" t="s">
        <v>48</v>
      </c>
      <c r="J2" s="14" t="s">
        <v>49</v>
      </c>
      <c r="K2" s="13" t="s">
        <v>50</v>
      </c>
    </row>
    <row r="3" customFormat="false" ht="79.85" hidden="false" customHeight="false" outlineLevel="0" collapsed="false">
      <c r="A3" s="13" t="s">
        <v>51</v>
      </c>
      <c r="B3" s="13" t="s">
        <v>17</v>
      </c>
      <c r="C3" s="13" t="s">
        <v>52</v>
      </c>
      <c r="D3" s="13" t="s">
        <v>53</v>
      </c>
      <c r="E3" s="13" t="s">
        <v>54</v>
      </c>
      <c r="F3" s="13" t="s">
        <v>55</v>
      </c>
      <c r="G3" s="13"/>
      <c r="H3" s="13" t="s">
        <v>56</v>
      </c>
      <c r="I3" s="13" t="s">
        <v>57</v>
      </c>
      <c r="J3" s="14" t="s">
        <v>49</v>
      </c>
      <c r="K3" s="13" t="s">
        <v>50</v>
      </c>
    </row>
    <row r="4" customFormat="false" ht="79.85" hidden="false" customHeight="false" outlineLevel="0" collapsed="false">
      <c r="A4" s="13" t="s">
        <v>58</v>
      </c>
      <c r="B4" s="13" t="s">
        <v>17</v>
      </c>
      <c r="C4" s="13" t="s">
        <v>59</v>
      </c>
      <c r="D4" s="13" t="s">
        <v>43</v>
      </c>
      <c r="E4" s="13" t="s">
        <v>60</v>
      </c>
      <c r="F4" s="13" t="s">
        <v>61</v>
      </c>
      <c r="G4" s="13" t="s">
        <v>62</v>
      </c>
      <c r="H4" s="13" t="s">
        <v>63</v>
      </c>
      <c r="I4" s="13" t="s">
        <v>48</v>
      </c>
      <c r="J4" s="15" t="s">
        <v>64</v>
      </c>
      <c r="K4" s="13" t="s">
        <v>50</v>
      </c>
    </row>
    <row r="5" customFormat="false" ht="91" hidden="false" customHeight="false" outlineLevel="0" collapsed="false">
      <c r="A5" s="13" t="s">
        <v>65</v>
      </c>
      <c r="B5" s="13" t="s">
        <v>17</v>
      </c>
      <c r="C5" s="13" t="s">
        <v>66</v>
      </c>
      <c r="D5" s="13" t="s">
        <v>67</v>
      </c>
      <c r="E5" s="13" t="s">
        <v>68</v>
      </c>
      <c r="F5" s="13" t="s">
        <v>69</v>
      </c>
      <c r="G5" s="13" t="s">
        <v>70</v>
      </c>
      <c r="H5" s="13" t="s">
        <v>71</v>
      </c>
      <c r="I5" s="13" t="s">
        <v>57</v>
      </c>
      <c r="J5" s="14" t="s">
        <v>49</v>
      </c>
      <c r="K5" s="13" t="s">
        <v>50</v>
      </c>
    </row>
    <row r="6" customFormat="false" ht="68.65" hidden="false" customHeight="false" outlineLevel="0" collapsed="false">
      <c r="A6" s="13" t="s">
        <v>72</v>
      </c>
      <c r="B6" s="13" t="s">
        <v>19</v>
      </c>
      <c r="C6" s="13" t="s">
        <v>73</v>
      </c>
      <c r="D6" s="13" t="s">
        <v>74</v>
      </c>
      <c r="E6" s="13" t="s">
        <v>75</v>
      </c>
      <c r="F6" s="13" t="s">
        <v>76</v>
      </c>
      <c r="G6" s="13" t="s">
        <v>77</v>
      </c>
      <c r="H6" s="13" t="s">
        <v>78</v>
      </c>
      <c r="I6" s="13" t="s">
        <v>57</v>
      </c>
      <c r="J6" s="14" t="s">
        <v>49</v>
      </c>
      <c r="K6" s="13" t="s">
        <v>50</v>
      </c>
    </row>
    <row r="7" customFormat="false" ht="57.45" hidden="false" customHeight="false" outlineLevel="0" collapsed="false">
      <c r="A7" s="13" t="s">
        <v>79</v>
      </c>
      <c r="B7" s="13" t="s">
        <v>19</v>
      </c>
      <c r="C7" s="13" t="s">
        <v>80</v>
      </c>
      <c r="D7" s="13" t="s">
        <v>67</v>
      </c>
      <c r="E7" s="13" t="s">
        <v>81</v>
      </c>
      <c r="F7" s="13" t="s">
        <v>82</v>
      </c>
      <c r="G7" s="13" t="s">
        <v>83</v>
      </c>
      <c r="H7" s="13" t="s">
        <v>84</v>
      </c>
      <c r="I7" s="13" t="s">
        <v>57</v>
      </c>
      <c r="J7" s="15" t="s">
        <v>64</v>
      </c>
      <c r="K7" s="13" t="s">
        <v>50</v>
      </c>
    </row>
    <row r="8" customFormat="false" ht="113.4" hidden="false" customHeight="false" outlineLevel="0" collapsed="false">
      <c r="A8" s="13" t="s">
        <v>85</v>
      </c>
      <c r="B8" s="13" t="s">
        <v>21</v>
      </c>
      <c r="C8" s="13" t="s">
        <v>86</v>
      </c>
      <c r="D8" s="13" t="s">
        <v>74</v>
      </c>
      <c r="E8" s="13" t="s">
        <v>87</v>
      </c>
      <c r="F8" s="13" t="s">
        <v>88</v>
      </c>
      <c r="G8" s="13" t="s">
        <v>89</v>
      </c>
      <c r="H8" s="13" t="s">
        <v>90</v>
      </c>
      <c r="I8" s="13" t="s">
        <v>48</v>
      </c>
      <c r="J8" s="14" t="s">
        <v>49</v>
      </c>
      <c r="K8" s="13" t="s">
        <v>50</v>
      </c>
    </row>
    <row r="9" customFormat="false" ht="91" hidden="false" customHeight="false" outlineLevel="0" collapsed="false">
      <c r="A9" s="13" t="s">
        <v>91</v>
      </c>
      <c r="B9" s="13" t="s">
        <v>21</v>
      </c>
      <c r="C9" s="13" t="s">
        <v>92</v>
      </c>
      <c r="D9" s="13" t="s">
        <v>74</v>
      </c>
      <c r="E9" s="13" t="s">
        <v>93</v>
      </c>
      <c r="F9" s="13" t="s">
        <v>94</v>
      </c>
      <c r="G9" s="13" t="s">
        <v>95</v>
      </c>
      <c r="H9" s="13" t="s">
        <v>96</v>
      </c>
      <c r="I9" s="13" t="s">
        <v>48</v>
      </c>
      <c r="J9" s="14" t="s">
        <v>49</v>
      </c>
      <c r="K9" s="13" t="s">
        <v>50</v>
      </c>
    </row>
    <row r="10" customFormat="false" ht="79.85" hidden="false" customHeight="false" outlineLevel="0" collapsed="false">
      <c r="A10" s="13" t="s">
        <v>97</v>
      </c>
      <c r="B10" s="13" t="s">
        <v>21</v>
      </c>
      <c r="C10" s="13" t="s">
        <v>98</v>
      </c>
      <c r="D10" s="13" t="s">
        <v>74</v>
      </c>
      <c r="E10" s="13" t="s">
        <v>99</v>
      </c>
      <c r="F10" s="13" t="s">
        <v>100</v>
      </c>
      <c r="G10" s="13" t="s">
        <v>101</v>
      </c>
      <c r="H10" s="13" t="s">
        <v>102</v>
      </c>
      <c r="I10" s="13" t="s">
        <v>57</v>
      </c>
      <c r="J10" s="14" t="s">
        <v>49</v>
      </c>
      <c r="K10" s="13" t="s">
        <v>50</v>
      </c>
    </row>
    <row r="11" customFormat="false" ht="57.45" hidden="false" customHeight="false" outlineLevel="0" collapsed="false">
      <c r="A11" s="13" t="s">
        <v>103</v>
      </c>
      <c r="B11" s="13" t="s">
        <v>21</v>
      </c>
      <c r="C11" s="13" t="s">
        <v>104</v>
      </c>
      <c r="D11" s="13" t="s">
        <v>74</v>
      </c>
      <c r="E11" s="13" t="s">
        <v>105</v>
      </c>
      <c r="F11" s="13" t="s">
        <v>106</v>
      </c>
      <c r="G11" s="13" t="s">
        <v>107</v>
      </c>
      <c r="H11" s="13" t="s">
        <v>108</v>
      </c>
      <c r="I11" s="13" t="s">
        <v>57</v>
      </c>
      <c r="J11" s="15" t="s">
        <v>64</v>
      </c>
      <c r="K11" s="13" t="s">
        <v>50</v>
      </c>
    </row>
    <row r="12" customFormat="false" ht="46.25" hidden="false" customHeight="false" outlineLevel="0" collapsed="false">
      <c r="A12" s="13" t="s">
        <v>109</v>
      </c>
      <c r="B12" s="13" t="s">
        <v>21</v>
      </c>
      <c r="C12" s="13" t="s">
        <v>110</v>
      </c>
      <c r="D12" s="13" t="s">
        <v>53</v>
      </c>
      <c r="E12" s="13" t="s">
        <v>111</v>
      </c>
      <c r="F12" s="13" t="s">
        <v>112</v>
      </c>
      <c r="G12" s="13" t="s">
        <v>113</v>
      </c>
      <c r="H12" s="13" t="s">
        <v>114</v>
      </c>
      <c r="I12" s="13" t="s">
        <v>57</v>
      </c>
      <c r="J12" s="15" t="s">
        <v>64</v>
      </c>
      <c r="K12" s="13" t="s">
        <v>50</v>
      </c>
    </row>
    <row r="13" customFormat="false" ht="57.45" hidden="false" customHeight="false" outlineLevel="0" collapsed="false">
      <c r="A13" s="13" t="s">
        <v>115</v>
      </c>
      <c r="B13" s="13" t="s">
        <v>23</v>
      </c>
      <c r="C13" s="13" t="s">
        <v>116</v>
      </c>
      <c r="D13" s="13" t="s">
        <v>74</v>
      </c>
      <c r="E13" s="13" t="s">
        <v>117</v>
      </c>
      <c r="F13" s="13" t="s">
        <v>118</v>
      </c>
      <c r="G13" s="13" t="s">
        <v>119</v>
      </c>
      <c r="H13" s="13" t="s">
        <v>120</v>
      </c>
      <c r="I13" s="13" t="s">
        <v>48</v>
      </c>
      <c r="J13" s="15" t="s">
        <v>64</v>
      </c>
      <c r="K13" s="13" t="s">
        <v>50</v>
      </c>
    </row>
    <row r="14" customFormat="false" ht="46.25" hidden="false" customHeight="false" outlineLevel="0" collapsed="false">
      <c r="A14" s="13" t="s">
        <v>121</v>
      </c>
      <c r="B14" s="13" t="s">
        <v>23</v>
      </c>
      <c r="C14" s="13" t="s">
        <v>122</v>
      </c>
      <c r="D14" s="13" t="s">
        <v>53</v>
      </c>
      <c r="E14" s="13" t="s">
        <v>123</v>
      </c>
      <c r="F14" s="13" t="s">
        <v>124</v>
      </c>
      <c r="G14" s="13" t="s">
        <v>125</v>
      </c>
      <c r="H14" s="13" t="s">
        <v>126</v>
      </c>
      <c r="I14" s="13" t="s">
        <v>127</v>
      </c>
      <c r="J14" s="14" t="s">
        <v>49</v>
      </c>
      <c r="K14" s="13" t="s">
        <v>50</v>
      </c>
    </row>
    <row r="15" customFormat="false" ht="46.25" hidden="false" customHeight="false" outlineLevel="0" collapsed="false">
      <c r="A15" s="13" t="s">
        <v>128</v>
      </c>
      <c r="B15" s="13" t="s">
        <v>23</v>
      </c>
      <c r="C15" s="13" t="s">
        <v>129</v>
      </c>
      <c r="D15" s="13" t="s">
        <v>74</v>
      </c>
      <c r="E15" s="13" t="s">
        <v>130</v>
      </c>
      <c r="F15" s="13" t="s">
        <v>131</v>
      </c>
      <c r="G15" s="13" t="s">
        <v>132</v>
      </c>
      <c r="H15" s="13" t="s">
        <v>133</v>
      </c>
      <c r="I15" s="13" t="s">
        <v>57</v>
      </c>
      <c r="J15" s="15" t="s">
        <v>64</v>
      </c>
      <c r="K15" s="13" t="s">
        <v>50</v>
      </c>
    </row>
    <row r="16" customFormat="false" ht="124.6" hidden="false" customHeight="false" outlineLevel="0" collapsed="false">
      <c r="A16" s="13" t="s">
        <v>134</v>
      </c>
      <c r="B16" s="13" t="s">
        <v>25</v>
      </c>
      <c r="C16" s="13" t="s">
        <v>135</v>
      </c>
      <c r="D16" s="13" t="s">
        <v>67</v>
      </c>
      <c r="E16" s="13" t="s">
        <v>136</v>
      </c>
      <c r="F16" s="13" t="s">
        <v>137</v>
      </c>
      <c r="G16" s="13"/>
      <c r="H16" s="13" t="s">
        <v>138</v>
      </c>
      <c r="I16" s="13" t="s">
        <v>57</v>
      </c>
      <c r="J16" s="14" t="s">
        <v>49</v>
      </c>
      <c r="K16" s="13" t="s">
        <v>50</v>
      </c>
    </row>
    <row r="17" customFormat="false" ht="68.65" hidden="false" customHeight="false" outlineLevel="0" collapsed="false">
      <c r="A17" s="13" t="s">
        <v>139</v>
      </c>
      <c r="B17" s="13" t="s">
        <v>25</v>
      </c>
      <c r="C17" s="13" t="s">
        <v>140</v>
      </c>
      <c r="D17" s="13" t="s">
        <v>74</v>
      </c>
      <c r="E17" s="13" t="s">
        <v>141</v>
      </c>
      <c r="F17" s="13" t="s">
        <v>142</v>
      </c>
      <c r="G17" s="13" t="s">
        <v>143</v>
      </c>
      <c r="H17" s="13" t="s">
        <v>144</v>
      </c>
      <c r="I17" s="13" t="s">
        <v>48</v>
      </c>
      <c r="J17" s="15" t="s">
        <v>64</v>
      </c>
      <c r="K17" s="13" t="s">
        <v>50</v>
      </c>
    </row>
    <row r="18" customFormat="false" ht="91" hidden="false" customHeight="false" outlineLevel="0" collapsed="false">
      <c r="A18" s="13" t="s">
        <v>145</v>
      </c>
      <c r="B18" s="13" t="s">
        <v>25</v>
      </c>
      <c r="C18" s="13" t="s">
        <v>146</v>
      </c>
      <c r="D18" s="13" t="s">
        <v>53</v>
      </c>
      <c r="E18" s="13" t="s">
        <v>147</v>
      </c>
      <c r="F18" s="13" t="s">
        <v>148</v>
      </c>
      <c r="G18" s="13" t="s">
        <v>149</v>
      </c>
      <c r="H18" s="13" t="s">
        <v>150</v>
      </c>
      <c r="I18" s="13" t="s">
        <v>57</v>
      </c>
      <c r="J18" s="15" t="s">
        <v>64</v>
      </c>
      <c r="K18" s="13" t="s">
        <v>50</v>
      </c>
    </row>
    <row r="19" customFormat="false" ht="102.2" hidden="false" customHeight="false" outlineLevel="0" collapsed="false">
      <c r="A19" s="13" t="s">
        <v>151</v>
      </c>
      <c r="B19" s="13" t="s">
        <v>26</v>
      </c>
      <c r="C19" s="13" t="s">
        <v>152</v>
      </c>
      <c r="D19" s="13" t="s">
        <v>74</v>
      </c>
      <c r="E19" s="13" t="s">
        <v>153</v>
      </c>
      <c r="F19" s="13" t="s">
        <v>154</v>
      </c>
      <c r="G19" s="13"/>
      <c r="H19" s="13" t="s">
        <v>155</v>
      </c>
      <c r="I19" s="13" t="s">
        <v>57</v>
      </c>
      <c r="J19" s="14" t="s">
        <v>49</v>
      </c>
      <c r="K19" s="13" t="s">
        <v>50</v>
      </c>
    </row>
    <row r="20" customFormat="false" ht="91" hidden="false" customHeight="false" outlineLevel="0" collapsed="false">
      <c r="A20" s="13" t="s">
        <v>156</v>
      </c>
      <c r="B20" s="13" t="s">
        <v>26</v>
      </c>
      <c r="C20" s="13" t="s">
        <v>157</v>
      </c>
      <c r="D20" s="13" t="s">
        <v>53</v>
      </c>
      <c r="E20" s="13" t="s">
        <v>158</v>
      </c>
      <c r="F20" s="13" t="s">
        <v>159</v>
      </c>
      <c r="G20" s="13" t="s">
        <v>160</v>
      </c>
      <c r="H20" s="13" t="s">
        <v>161</v>
      </c>
      <c r="I20" s="13" t="s">
        <v>57</v>
      </c>
      <c r="J20" s="14" t="s">
        <v>49</v>
      </c>
      <c r="K20" s="13" t="s">
        <v>50</v>
      </c>
    </row>
    <row r="21" customFormat="false" ht="68.65" hidden="false" customHeight="false" outlineLevel="0" collapsed="false">
      <c r="A21" s="13" t="s">
        <v>162</v>
      </c>
      <c r="B21" s="13" t="s">
        <v>15</v>
      </c>
      <c r="C21" s="13" t="s">
        <v>163</v>
      </c>
      <c r="D21" s="13" t="s">
        <v>74</v>
      </c>
      <c r="E21" s="13" t="s">
        <v>164</v>
      </c>
      <c r="F21" s="13" t="s">
        <v>165</v>
      </c>
      <c r="G21" s="13" t="s">
        <v>166</v>
      </c>
      <c r="H21" s="13" t="s">
        <v>47</v>
      </c>
      <c r="I21" s="13" t="s">
        <v>48</v>
      </c>
      <c r="J21" s="15" t="s">
        <v>64</v>
      </c>
      <c r="K21" s="13" t="s">
        <v>50</v>
      </c>
    </row>
    <row r="22" customFormat="false" ht="91" hidden="false" customHeight="false" outlineLevel="0" collapsed="false">
      <c r="A22" s="13" t="s">
        <v>167</v>
      </c>
      <c r="B22" s="13" t="s">
        <v>15</v>
      </c>
      <c r="C22" s="13" t="s">
        <v>168</v>
      </c>
      <c r="D22" s="13" t="s">
        <v>74</v>
      </c>
      <c r="E22" s="13" t="s">
        <v>169</v>
      </c>
      <c r="F22" s="13" t="s">
        <v>170</v>
      </c>
      <c r="G22" s="13" t="s">
        <v>171</v>
      </c>
      <c r="H22" s="13" t="s">
        <v>172</v>
      </c>
      <c r="I22" s="13" t="s">
        <v>48</v>
      </c>
      <c r="J22" s="14" t="s">
        <v>49</v>
      </c>
      <c r="K22" s="13" t="s">
        <v>50</v>
      </c>
    </row>
    <row r="23" customFormat="false" ht="102.2" hidden="false" customHeight="false" outlineLevel="0" collapsed="false">
      <c r="A23" s="13" t="s">
        <v>173</v>
      </c>
      <c r="B23" s="13" t="s">
        <v>15</v>
      </c>
      <c r="C23" s="13" t="s">
        <v>174</v>
      </c>
      <c r="D23" s="13" t="s">
        <v>53</v>
      </c>
      <c r="E23" s="13" t="s">
        <v>175</v>
      </c>
      <c r="F23" s="13" t="s">
        <v>176</v>
      </c>
      <c r="G23" s="13" t="s">
        <v>177</v>
      </c>
      <c r="H23" s="13" t="s">
        <v>178</v>
      </c>
      <c r="I23" s="13" t="s">
        <v>57</v>
      </c>
      <c r="J23" s="14" t="s">
        <v>49</v>
      </c>
      <c r="K23" s="13" t="s">
        <v>50</v>
      </c>
    </row>
    <row r="24" customFormat="false" ht="102.2" hidden="false" customHeight="false" outlineLevel="0" collapsed="false">
      <c r="A24" s="13" t="s">
        <v>179</v>
      </c>
      <c r="B24" s="13" t="s">
        <v>15</v>
      </c>
      <c r="C24" s="13" t="s">
        <v>180</v>
      </c>
      <c r="D24" s="13" t="s">
        <v>74</v>
      </c>
      <c r="E24" s="13" t="s">
        <v>181</v>
      </c>
      <c r="F24" s="13" t="s">
        <v>182</v>
      </c>
      <c r="G24" s="13"/>
      <c r="H24" s="13" t="s">
        <v>183</v>
      </c>
      <c r="I24" s="13" t="s">
        <v>57</v>
      </c>
      <c r="J24" s="14" t="s">
        <v>49</v>
      </c>
      <c r="K24" s="13" t="s">
        <v>50</v>
      </c>
    </row>
    <row r="25" customFormat="false" ht="91" hidden="false" customHeight="false" outlineLevel="0" collapsed="false">
      <c r="A25" s="13" t="s">
        <v>184</v>
      </c>
      <c r="B25" s="13" t="s">
        <v>15</v>
      </c>
      <c r="C25" s="13" t="s">
        <v>185</v>
      </c>
      <c r="D25" s="13" t="s">
        <v>53</v>
      </c>
      <c r="E25" s="13" t="s">
        <v>186</v>
      </c>
      <c r="F25" s="13" t="s">
        <v>187</v>
      </c>
      <c r="G25" s="13"/>
      <c r="H25" s="13" t="s">
        <v>188</v>
      </c>
      <c r="I25" s="13" t="s">
        <v>57</v>
      </c>
      <c r="J25" s="14" t="s">
        <v>49</v>
      </c>
      <c r="K25" s="13" t="s">
        <v>50</v>
      </c>
    </row>
    <row r="26" customFormat="false" ht="68.65" hidden="false" customHeight="false" outlineLevel="0" collapsed="false">
      <c r="A26" s="13" t="s">
        <v>189</v>
      </c>
      <c r="B26" s="13" t="s">
        <v>15</v>
      </c>
      <c r="C26" s="13" t="s">
        <v>190</v>
      </c>
      <c r="D26" s="13" t="s">
        <v>53</v>
      </c>
      <c r="E26" s="13" t="s">
        <v>191</v>
      </c>
      <c r="F26" s="13" t="s">
        <v>192</v>
      </c>
      <c r="G26" s="13"/>
      <c r="H26" s="13" t="s">
        <v>193</v>
      </c>
      <c r="I26" s="13" t="s">
        <v>127</v>
      </c>
      <c r="J26" s="15" t="s">
        <v>64</v>
      </c>
      <c r="K26" s="13" t="s">
        <v>50</v>
      </c>
    </row>
    <row r="27" customFormat="false" ht="113.4" hidden="false" customHeight="false" outlineLevel="0" collapsed="false">
      <c r="A27" s="13" t="s">
        <v>194</v>
      </c>
      <c r="B27" s="13" t="s">
        <v>15</v>
      </c>
      <c r="C27" s="13" t="s">
        <v>195</v>
      </c>
      <c r="D27" s="13" t="s">
        <v>67</v>
      </c>
      <c r="E27" s="13" t="s">
        <v>196</v>
      </c>
      <c r="F27" s="13" t="s">
        <v>197</v>
      </c>
      <c r="G27" s="13"/>
      <c r="H27" s="13" t="s">
        <v>198</v>
      </c>
      <c r="I27" s="13" t="s">
        <v>57</v>
      </c>
      <c r="J27" s="15" t="s">
        <v>64</v>
      </c>
      <c r="K27" s="13" t="s">
        <v>50</v>
      </c>
    </row>
    <row r="28" customFormat="false" ht="46.25" hidden="false" customHeight="false" outlineLevel="0" collapsed="false">
      <c r="A28" s="13" t="s">
        <v>199</v>
      </c>
      <c r="B28" s="13" t="s">
        <v>27</v>
      </c>
      <c r="C28" s="13" t="s">
        <v>200</v>
      </c>
      <c r="D28" s="13" t="s">
        <v>67</v>
      </c>
      <c r="E28" s="13" t="s">
        <v>201</v>
      </c>
      <c r="F28" s="13" t="s">
        <v>202</v>
      </c>
      <c r="G28" s="13" t="s">
        <v>203</v>
      </c>
      <c r="H28" s="13" t="s">
        <v>204</v>
      </c>
      <c r="I28" s="13" t="s">
        <v>205</v>
      </c>
      <c r="J28" s="15" t="s">
        <v>64</v>
      </c>
      <c r="K28" s="13" t="s">
        <v>50</v>
      </c>
    </row>
    <row r="29" customFormat="false" ht="124.6" hidden="false" customHeight="false" outlineLevel="0" collapsed="false">
      <c r="A29" s="13" t="s">
        <v>206</v>
      </c>
      <c r="B29" s="13" t="s">
        <v>27</v>
      </c>
      <c r="C29" s="13" t="s">
        <v>207</v>
      </c>
      <c r="D29" s="13" t="s">
        <v>53</v>
      </c>
      <c r="E29" s="13" t="s">
        <v>208</v>
      </c>
      <c r="F29" s="13" t="s">
        <v>209</v>
      </c>
      <c r="G29" s="13"/>
      <c r="H29" s="13" t="s">
        <v>210</v>
      </c>
      <c r="I29" s="13" t="s">
        <v>211</v>
      </c>
      <c r="J29" s="14" t="s">
        <v>49</v>
      </c>
      <c r="K29" s="13" t="s">
        <v>50</v>
      </c>
    </row>
    <row r="30" customFormat="false" ht="102.2" hidden="false" customHeight="false" outlineLevel="0" collapsed="false">
      <c r="A30" s="13" t="s">
        <v>212</v>
      </c>
      <c r="B30" s="13" t="s">
        <v>27</v>
      </c>
      <c r="C30" s="13" t="s">
        <v>213</v>
      </c>
      <c r="D30" s="13" t="s">
        <v>53</v>
      </c>
      <c r="E30" s="13" t="s">
        <v>214</v>
      </c>
      <c r="F30" s="13" t="s">
        <v>215</v>
      </c>
      <c r="G30" s="13"/>
      <c r="H30" s="13" t="s">
        <v>216</v>
      </c>
      <c r="I30" s="13" t="s">
        <v>211</v>
      </c>
      <c r="J30" s="14" t="s">
        <v>49</v>
      </c>
      <c r="K30" s="13" t="s">
        <v>50</v>
      </c>
    </row>
    <row r="31" customFormat="false" ht="102.2" hidden="false" customHeight="false" outlineLevel="0" collapsed="false">
      <c r="A31" s="13" t="s">
        <v>217</v>
      </c>
      <c r="B31" s="13" t="s">
        <v>27</v>
      </c>
      <c r="C31" s="13" t="s">
        <v>218</v>
      </c>
      <c r="D31" s="13" t="s">
        <v>53</v>
      </c>
      <c r="E31" s="13" t="s">
        <v>219</v>
      </c>
      <c r="F31" s="13" t="s">
        <v>220</v>
      </c>
      <c r="G31" s="13"/>
      <c r="H31" s="13" t="s">
        <v>221</v>
      </c>
      <c r="I31" s="13" t="s">
        <v>211</v>
      </c>
      <c r="J31" s="14" t="s">
        <v>49</v>
      </c>
      <c r="K31" s="13" t="s">
        <v>50</v>
      </c>
    </row>
    <row r="32" customFormat="false" ht="113.4" hidden="false" customHeight="false" outlineLevel="0" collapsed="false">
      <c r="A32" s="13" t="s">
        <v>222</v>
      </c>
      <c r="B32" s="13" t="s">
        <v>28</v>
      </c>
      <c r="C32" s="13" t="s">
        <v>223</v>
      </c>
      <c r="D32" s="13" t="s">
        <v>53</v>
      </c>
      <c r="E32" s="13" t="s">
        <v>224</v>
      </c>
      <c r="F32" s="13" t="s">
        <v>225</v>
      </c>
      <c r="G32" s="13" t="s">
        <v>226</v>
      </c>
      <c r="H32" s="13" t="s">
        <v>227</v>
      </c>
      <c r="I32" s="13" t="s">
        <v>57</v>
      </c>
      <c r="J32" s="14" t="s">
        <v>49</v>
      </c>
      <c r="K32" s="13" t="s">
        <v>50</v>
      </c>
    </row>
    <row r="33" customFormat="false" ht="79.85" hidden="false" customHeight="false" outlineLevel="0" collapsed="false">
      <c r="A33" s="13" t="s">
        <v>228</v>
      </c>
      <c r="B33" s="13" t="s">
        <v>28</v>
      </c>
      <c r="C33" s="13" t="s">
        <v>229</v>
      </c>
      <c r="D33" s="13" t="s">
        <v>74</v>
      </c>
      <c r="E33" s="13" t="s">
        <v>230</v>
      </c>
      <c r="F33" s="13" t="s">
        <v>231</v>
      </c>
      <c r="G33" s="13" t="s">
        <v>232</v>
      </c>
      <c r="H33" s="13" t="s">
        <v>233</v>
      </c>
      <c r="I33" s="13" t="s">
        <v>57</v>
      </c>
      <c r="J33" s="14" t="s">
        <v>49</v>
      </c>
      <c r="K33" s="13" t="s">
        <v>50</v>
      </c>
    </row>
    <row r="34" customFormat="false" ht="79.85" hidden="false" customHeight="false" outlineLevel="0" collapsed="false">
      <c r="A34" s="13" t="s">
        <v>234</v>
      </c>
      <c r="B34" s="13" t="s">
        <v>28</v>
      </c>
      <c r="C34" s="13" t="s">
        <v>235</v>
      </c>
      <c r="D34" s="13" t="s">
        <v>53</v>
      </c>
      <c r="E34" s="13" t="s">
        <v>236</v>
      </c>
      <c r="F34" s="13" t="s">
        <v>237</v>
      </c>
      <c r="G34" s="13"/>
      <c r="H34" s="13" t="s">
        <v>238</v>
      </c>
      <c r="I34" s="13" t="s">
        <v>57</v>
      </c>
      <c r="J34" s="14" t="s">
        <v>49</v>
      </c>
      <c r="K34" s="13" t="s">
        <v>50</v>
      </c>
    </row>
    <row r="35" customFormat="false" ht="57.45" hidden="false" customHeight="false" outlineLevel="0" collapsed="false">
      <c r="A35" s="13" t="s">
        <v>239</v>
      </c>
      <c r="B35" s="13" t="s">
        <v>28</v>
      </c>
      <c r="C35" s="13" t="s">
        <v>240</v>
      </c>
      <c r="D35" s="13" t="s">
        <v>74</v>
      </c>
      <c r="E35" s="13" t="s">
        <v>241</v>
      </c>
      <c r="F35" s="13" t="s">
        <v>242</v>
      </c>
      <c r="G35" s="13" t="s">
        <v>243</v>
      </c>
      <c r="H35" s="13" t="s">
        <v>244</v>
      </c>
      <c r="I35" s="13" t="s">
        <v>57</v>
      </c>
      <c r="J35" s="15" t="s">
        <v>64</v>
      </c>
      <c r="K35" s="13" t="s">
        <v>50</v>
      </c>
    </row>
    <row r="36" customFormat="false" ht="79.85" hidden="false" customHeight="false" outlineLevel="0" collapsed="false">
      <c r="A36" s="13" t="s">
        <v>245</v>
      </c>
      <c r="B36" s="13" t="s">
        <v>29</v>
      </c>
      <c r="C36" s="13" t="s">
        <v>246</v>
      </c>
      <c r="D36" s="13" t="s">
        <v>53</v>
      </c>
      <c r="E36" s="13" t="s">
        <v>247</v>
      </c>
      <c r="F36" s="13" t="s">
        <v>248</v>
      </c>
      <c r="G36" s="13" t="s">
        <v>249</v>
      </c>
      <c r="H36" s="13" t="s">
        <v>250</v>
      </c>
      <c r="I36" s="13" t="s">
        <v>127</v>
      </c>
      <c r="J36" s="14" t="s">
        <v>49</v>
      </c>
      <c r="K36" s="13" t="s">
        <v>50</v>
      </c>
    </row>
    <row r="37" customFormat="false" ht="124.6" hidden="false" customHeight="false" outlineLevel="0" collapsed="false">
      <c r="A37" s="13" t="s">
        <v>251</v>
      </c>
      <c r="B37" s="13" t="s">
        <v>29</v>
      </c>
      <c r="C37" s="13" t="s">
        <v>252</v>
      </c>
      <c r="D37" s="13" t="s">
        <v>74</v>
      </c>
      <c r="E37" s="13" t="s">
        <v>253</v>
      </c>
      <c r="F37" s="13" t="s">
        <v>254</v>
      </c>
      <c r="G37" s="13"/>
      <c r="H37" s="13" t="s">
        <v>255</v>
      </c>
      <c r="I37" s="13" t="s">
        <v>48</v>
      </c>
      <c r="J37" s="14" t="s">
        <v>49</v>
      </c>
      <c r="K37" s="13" t="s">
        <v>50</v>
      </c>
    </row>
    <row r="38" customFormat="false" ht="102.2" hidden="false" customHeight="false" outlineLevel="0" collapsed="false">
      <c r="A38" s="13" t="s">
        <v>256</v>
      </c>
      <c r="B38" s="13" t="s">
        <v>29</v>
      </c>
      <c r="C38" s="13" t="s">
        <v>257</v>
      </c>
      <c r="D38" s="13" t="s">
        <v>74</v>
      </c>
      <c r="E38" s="13" t="s">
        <v>258</v>
      </c>
      <c r="F38" s="13" t="s">
        <v>259</v>
      </c>
      <c r="G38" s="13" t="s">
        <v>260</v>
      </c>
      <c r="H38" s="13" t="s">
        <v>261</v>
      </c>
      <c r="I38" s="13" t="s">
        <v>57</v>
      </c>
      <c r="J38" s="14" t="s">
        <v>49</v>
      </c>
      <c r="K38" s="13" t="s">
        <v>50</v>
      </c>
    </row>
    <row r="39" customFormat="false" ht="79.85" hidden="false" customHeight="false" outlineLevel="0" collapsed="false">
      <c r="A39" s="13" t="s">
        <v>262</v>
      </c>
      <c r="B39" s="13" t="s">
        <v>30</v>
      </c>
      <c r="C39" s="13" t="s">
        <v>263</v>
      </c>
      <c r="D39" s="13" t="s">
        <v>74</v>
      </c>
      <c r="E39" s="13" t="s">
        <v>264</v>
      </c>
      <c r="F39" s="13" t="s">
        <v>265</v>
      </c>
      <c r="G39" s="13"/>
      <c r="H39" s="13" t="s">
        <v>266</v>
      </c>
      <c r="I39" s="13" t="s">
        <v>57</v>
      </c>
      <c r="J39" s="14" t="s">
        <v>49</v>
      </c>
      <c r="K39" s="13" t="s">
        <v>50</v>
      </c>
    </row>
    <row r="40" customFormat="false" ht="102.2" hidden="false" customHeight="false" outlineLevel="0" collapsed="false">
      <c r="A40" s="13" t="s">
        <v>267</v>
      </c>
      <c r="B40" s="13" t="s">
        <v>30</v>
      </c>
      <c r="C40" s="13" t="s">
        <v>268</v>
      </c>
      <c r="D40" s="13" t="s">
        <v>74</v>
      </c>
      <c r="E40" s="13" t="s">
        <v>269</v>
      </c>
      <c r="F40" s="13" t="s">
        <v>270</v>
      </c>
      <c r="G40" s="13"/>
      <c r="H40" s="13" t="s">
        <v>271</v>
      </c>
      <c r="I40" s="13" t="s">
        <v>57</v>
      </c>
      <c r="J40" s="15" t="s">
        <v>64</v>
      </c>
      <c r="K40" s="13" t="s">
        <v>50</v>
      </c>
    </row>
    <row r="41" customFormat="false" ht="91" hidden="false" customHeight="false" outlineLevel="0" collapsed="false">
      <c r="A41" s="13" t="s">
        <v>272</v>
      </c>
      <c r="B41" s="13" t="s">
        <v>31</v>
      </c>
      <c r="C41" s="13" t="s">
        <v>273</v>
      </c>
      <c r="D41" s="13" t="s">
        <v>67</v>
      </c>
      <c r="E41" s="13" t="s">
        <v>274</v>
      </c>
      <c r="F41" s="13" t="s">
        <v>275</v>
      </c>
      <c r="G41" s="13" t="s">
        <v>276</v>
      </c>
      <c r="H41" s="13" t="s">
        <v>277</v>
      </c>
      <c r="I41" s="13" t="s">
        <v>57</v>
      </c>
      <c r="J41" s="14" t="s">
        <v>49</v>
      </c>
      <c r="K41" s="13" t="s">
        <v>50</v>
      </c>
    </row>
    <row r="42" customFormat="false" ht="91" hidden="false" customHeight="false" outlineLevel="0" collapsed="false">
      <c r="A42" s="13" t="s">
        <v>278</v>
      </c>
      <c r="B42" s="13" t="s">
        <v>31</v>
      </c>
      <c r="C42" s="13" t="s">
        <v>279</v>
      </c>
      <c r="D42" s="13" t="s">
        <v>74</v>
      </c>
      <c r="E42" s="13" t="s">
        <v>280</v>
      </c>
      <c r="F42" s="13" t="s">
        <v>281</v>
      </c>
      <c r="G42" s="13" t="s">
        <v>282</v>
      </c>
      <c r="H42" s="13" t="s">
        <v>283</v>
      </c>
      <c r="I42" s="13" t="s">
        <v>57</v>
      </c>
      <c r="J42" s="14" t="s">
        <v>49</v>
      </c>
      <c r="K42" s="13" t="s">
        <v>50</v>
      </c>
    </row>
    <row r="43" customFormat="false" ht="57.45" hidden="false" customHeight="false" outlineLevel="0" collapsed="false">
      <c r="A43" s="13" t="s">
        <v>284</v>
      </c>
      <c r="B43" s="13" t="s">
        <v>32</v>
      </c>
      <c r="C43" s="13" t="s">
        <v>285</v>
      </c>
      <c r="D43" s="13" t="s">
        <v>74</v>
      </c>
      <c r="E43" s="13" t="s">
        <v>286</v>
      </c>
      <c r="F43" s="13" t="s">
        <v>287</v>
      </c>
      <c r="G43" s="13" t="s">
        <v>288</v>
      </c>
      <c r="H43" s="13" t="s">
        <v>289</v>
      </c>
      <c r="I43" s="13" t="s">
        <v>57</v>
      </c>
      <c r="J43" s="14" t="s">
        <v>49</v>
      </c>
      <c r="K43" s="13" t="s">
        <v>50</v>
      </c>
    </row>
    <row r="44" customFormat="false" ht="102.2" hidden="false" customHeight="false" outlineLevel="0" collapsed="false">
      <c r="A44" s="13" t="s">
        <v>290</v>
      </c>
      <c r="B44" s="13" t="s">
        <v>32</v>
      </c>
      <c r="C44" s="13" t="s">
        <v>291</v>
      </c>
      <c r="D44" s="13" t="s">
        <v>74</v>
      </c>
      <c r="E44" s="13" t="s">
        <v>292</v>
      </c>
      <c r="F44" s="13" t="s">
        <v>293</v>
      </c>
      <c r="G44" s="13" t="s">
        <v>294</v>
      </c>
      <c r="H44" s="13" t="s">
        <v>295</v>
      </c>
      <c r="I44" s="13" t="s">
        <v>296</v>
      </c>
      <c r="J44" s="14" t="s">
        <v>49</v>
      </c>
      <c r="K44" s="13" t="s">
        <v>50</v>
      </c>
    </row>
  </sheetData>
  <autoFilter ref="A1:K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44"/>
    <col collapsed="false" customWidth="true" hidden="false" outlineLevel="0" max="5" min="4" style="0" width="52"/>
  </cols>
  <sheetData>
    <row r="1" customFormat="false" ht="15" hidden="false" customHeight="false" outlineLevel="0" collapsed="false">
      <c r="A1" s="12" t="s">
        <v>33</v>
      </c>
      <c r="B1" s="12" t="s">
        <v>34</v>
      </c>
      <c r="C1" s="12" t="s">
        <v>297</v>
      </c>
      <c r="D1" s="12" t="s">
        <v>298</v>
      </c>
      <c r="E1" s="12" t="s">
        <v>299</v>
      </c>
    </row>
    <row r="2" customFormat="false" ht="35.05" hidden="false" customHeight="false" outlineLevel="0" collapsed="false">
      <c r="A2" s="13" t="s">
        <v>300</v>
      </c>
      <c r="B2" s="13" t="s">
        <v>17</v>
      </c>
      <c r="C2" s="13" t="s">
        <v>301</v>
      </c>
      <c r="D2" s="13" t="s">
        <v>302</v>
      </c>
      <c r="E2" s="13" t="s">
        <v>303</v>
      </c>
    </row>
    <row r="3" customFormat="false" ht="23.85" hidden="false" customHeight="false" outlineLevel="0" collapsed="false">
      <c r="A3" s="13" t="s">
        <v>304</v>
      </c>
      <c r="B3" s="13" t="s">
        <v>21</v>
      </c>
      <c r="C3" s="13" t="s">
        <v>305</v>
      </c>
      <c r="D3" s="13" t="s">
        <v>306</v>
      </c>
      <c r="E3" s="13" t="s">
        <v>307</v>
      </c>
    </row>
    <row r="4" customFormat="false" ht="46.25" hidden="false" customHeight="false" outlineLevel="0" collapsed="false">
      <c r="A4" s="13" t="s">
        <v>308</v>
      </c>
      <c r="B4" s="13" t="s">
        <v>23</v>
      </c>
      <c r="C4" s="13" t="s">
        <v>309</v>
      </c>
      <c r="D4" s="13" t="s">
        <v>310</v>
      </c>
      <c r="E4" s="13" t="s">
        <v>311</v>
      </c>
    </row>
    <row r="5" customFormat="false" ht="46.25" hidden="false" customHeight="false" outlineLevel="0" collapsed="false">
      <c r="A5" s="13" t="s">
        <v>312</v>
      </c>
      <c r="B5" s="13" t="s">
        <v>26</v>
      </c>
      <c r="C5" s="13" t="s">
        <v>313</v>
      </c>
      <c r="D5" s="13" t="s">
        <v>314</v>
      </c>
      <c r="E5" s="13" t="s">
        <v>315</v>
      </c>
    </row>
    <row r="6" customFormat="false" ht="68.65" hidden="false" customHeight="false" outlineLevel="0" collapsed="false">
      <c r="A6" s="13" t="s">
        <v>316</v>
      </c>
      <c r="B6" s="13" t="s">
        <v>15</v>
      </c>
      <c r="C6" s="13" t="s">
        <v>317</v>
      </c>
      <c r="D6" s="13" t="s">
        <v>318</v>
      </c>
      <c r="E6" s="13" t="s">
        <v>319</v>
      </c>
    </row>
    <row r="7" customFormat="false" ht="35.05" hidden="false" customHeight="false" outlineLevel="0" collapsed="false">
      <c r="A7" s="13" t="s">
        <v>320</v>
      </c>
      <c r="B7" s="13" t="s">
        <v>15</v>
      </c>
      <c r="C7" s="13" t="s">
        <v>321</v>
      </c>
      <c r="D7" s="13" t="s">
        <v>322</v>
      </c>
      <c r="E7" s="13" t="s">
        <v>323</v>
      </c>
    </row>
    <row r="8" customFormat="false" ht="46.25" hidden="false" customHeight="false" outlineLevel="0" collapsed="false">
      <c r="A8" s="13" t="s">
        <v>324</v>
      </c>
      <c r="B8" s="13" t="s">
        <v>15</v>
      </c>
      <c r="C8" s="13" t="s">
        <v>325</v>
      </c>
      <c r="D8" s="13" t="s">
        <v>326</v>
      </c>
      <c r="E8" s="13" t="s">
        <v>327</v>
      </c>
    </row>
    <row r="9" customFormat="false" ht="46.25" hidden="false" customHeight="false" outlineLevel="0" collapsed="false">
      <c r="A9" s="13" t="s">
        <v>328</v>
      </c>
      <c r="B9" s="13" t="s">
        <v>28</v>
      </c>
      <c r="C9" s="13" t="s">
        <v>329</v>
      </c>
      <c r="D9" s="13" t="s">
        <v>330</v>
      </c>
      <c r="E9" s="13" t="s">
        <v>331</v>
      </c>
    </row>
    <row r="10" customFormat="false" ht="23.85" hidden="false" customHeight="false" outlineLevel="0" collapsed="false">
      <c r="A10" s="13" t="s">
        <v>332</v>
      </c>
      <c r="B10" s="13" t="s">
        <v>28</v>
      </c>
      <c r="C10" s="13" t="s">
        <v>333</v>
      </c>
      <c r="D10" s="13" t="s">
        <v>334</v>
      </c>
      <c r="E10" s="13" t="s">
        <v>335</v>
      </c>
    </row>
    <row r="11" customFormat="false" ht="46.25" hidden="false" customHeight="false" outlineLevel="0" collapsed="false">
      <c r="A11" s="13" t="s">
        <v>336</v>
      </c>
      <c r="B11" s="13" t="s">
        <v>28</v>
      </c>
      <c r="C11" s="13" t="s">
        <v>337</v>
      </c>
      <c r="D11" s="13" t="s">
        <v>338</v>
      </c>
      <c r="E11" s="13" t="s">
        <v>339</v>
      </c>
    </row>
    <row r="12" customFormat="false" ht="15" hidden="false" customHeight="false" outlineLevel="0" collapsed="false">
      <c r="A12" s="13" t="s">
        <v>340</v>
      </c>
      <c r="B12" s="13" t="s">
        <v>28</v>
      </c>
      <c r="C12" s="13" t="s">
        <v>341</v>
      </c>
      <c r="D12" s="13" t="s">
        <v>342</v>
      </c>
      <c r="E12" s="13" t="s">
        <v>343</v>
      </c>
    </row>
    <row r="13" customFormat="false" ht="23.85" hidden="false" customHeight="false" outlineLevel="0" collapsed="false">
      <c r="A13" s="13" t="s">
        <v>344</v>
      </c>
      <c r="B13" s="13" t="s">
        <v>31</v>
      </c>
      <c r="C13" s="13" t="s">
        <v>345</v>
      </c>
      <c r="D13" s="13" t="s">
        <v>346</v>
      </c>
      <c r="E13" s="13" t="s">
        <v>347</v>
      </c>
    </row>
    <row r="14" customFormat="false" ht="23.85" hidden="false" customHeight="false" outlineLevel="0" collapsed="false">
      <c r="A14" s="13" t="s">
        <v>348</v>
      </c>
      <c r="B14" s="13" t="s">
        <v>31</v>
      </c>
      <c r="C14" s="13" t="s">
        <v>349</v>
      </c>
      <c r="D14" s="13" t="s">
        <v>350</v>
      </c>
      <c r="E14" s="13" t="s">
        <v>351</v>
      </c>
    </row>
    <row r="15" customFormat="false" ht="15" hidden="false" customHeight="false" outlineLevel="0" collapsed="false">
      <c r="A15" s="13" t="s">
        <v>352</v>
      </c>
      <c r="B15" s="13" t="s">
        <v>31</v>
      </c>
      <c r="C15" s="13" t="s">
        <v>353</v>
      </c>
      <c r="D15" s="13" t="s">
        <v>354</v>
      </c>
      <c r="E15" s="13" t="s">
        <v>355</v>
      </c>
    </row>
    <row r="16" customFormat="false" ht="23.85" hidden="false" customHeight="false" outlineLevel="0" collapsed="false">
      <c r="A16" s="13" t="s">
        <v>356</v>
      </c>
      <c r="B16" s="13" t="s">
        <v>32</v>
      </c>
      <c r="C16" s="13" t="s">
        <v>357</v>
      </c>
      <c r="D16" s="13" t="s">
        <v>358</v>
      </c>
      <c r="E16" s="13" t="s">
        <v>359</v>
      </c>
    </row>
    <row r="17" customFormat="false" ht="68.65" hidden="false" customHeight="false" outlineLevel="0" collapsed="false">
      <c r="A17" s="13" t="s">
        <v>360</v>
      </c>
      <c r="B17" s="13" t="s">
        <v>32</v>
      </c>
      <c r="C17" s="13" t="s">
        <v>361</v>
      </c>
      <c r="D17" s="13" t="s">
        <v>362</v>
      </c>
      <c r="E17" s="13" t="s">
        <v>363</v>
      </c>
    </row>
    <row r="18" customFormat="false" ht="35.05" hidden="false" customHeight="false" outlineLevel="0" collapsed="false">
      <c r="A18" s="13" t="s">
        <v>364</v>
      </c>
      <c r="B18" s="13" t="s">
        <v>32</v>
      </c>
      <c r="C18" s="13" t="s">
        <v>365</v>
      </c>
      <c r="D18" s="13" t="s">
        <v>366</v>
      </c>
      <c r="E18" s="13" t="s">
        <v>367</v>
      </c>
    </row>
    <row r="19" customFormat="false" ht="23.85" hidden="false" customHeight="false" outlineLevel="0" collapsed="false">
      <c r="A19" s="13" t="s">
        <v>368</v>
      </c>
      <c r="B19" s="13" t="s">
        <v>32</v>
      </c>
      <c r="C19" s="13" t="s">
        <v>369</v>
      </c>
      <c r="D19" s="13" t="s">
        <v>370</v>
      </c>
      <c r="E19" s="13" t="s">
        <v>371</v>
      </c>
    </row>
    <row r="20" customFormat="false" ht="23.85" hidden="false" customHeight="false" outlineLevel="0" collapsed="false">
      <c r="A20" s="13" t="s">
        <v>372</v>
      </c>
      <c r="B20" s="13" t="s">
        <v>32</v>
      </c>
      <c r="C20" s="13" t="s">
        <v>373</v>
      </c>
      <c r="D20" s="13" t="s">
        <v>374</v>
      </c>
      <c r="E20" s="13" t="s">
        <v>375</v>
      </c>
    </row>
    <row r="21" customFormat="false" ht="23.85" hidden="false" customHeight="false" outlineLevel="0" collapsed="false">
      <c r="A21" s="13" t="s">
        <v>376</v>
      </c>
      <c r="B21" s="13" t="s">
        <v>377</v>
      </c>
      <c r="C21" s="13" t="s">
        <v>378</v>
      </c>
      <c r="D21" s="13" t="s">
        <v>379</v>
      </c>
      <c r="E21" s="13" t="s">
        <v>380</v>
      </c>
    </row>
    <row r="22" customFormat="false" ht="15" hidden="false" customHeight="false" outlineLevel="0" collapsed="false">
      <c r="A22" s="13" t="s">
        <v>381</v>
      </c>
      <c r="B22" s="13" t="s">
        <v>377</v>
      </c>
      <c r="C22" s="13" t="s">
        <v>382</v>
      </c>
      <c r="D22" s="13" t="s">
        <v>383</v>
      </c>
      <c r="E22" s="13" t="s">
        <v>384</v>
      </c>
    </row>
  </sheetData>
  <autoFilter ref="A1:E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2026-08-24T22:58:38Z</dcterms:created>
  <dc:creator>openpyxl</dc:creator>
  <dc:description/>
  <dc:language>en-US</dc:language>
  <cp:lastModifiedBy/>
  <dcterms:modified xsi:type="dcterms:W3CDTF">2026-08-24T22:58:38Z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